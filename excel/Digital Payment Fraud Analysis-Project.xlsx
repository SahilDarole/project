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5f66083692968a7a/Desktop/Excel Assignment/"/>
    </mc:Choice>
  </mc:AlternateContent>
  <xr:revisionPtr revIDLastSave="154" documentId="6_{7CDCF9B9-D70C-419D-968A-FF79B4FB0AF7}" xr6:coauthVersionLast="47" xr6:coauthVersionMax="47" xr10:uidLastSave="{7CCCC32A-FF8E-4E77-9547-80F26B8D4A86}"/>
  <bookViews>
    <workbookView xWindow="-108" yWindow="-108" windowWidth="23256" windowHeight="13896" activeTab="3" xr2:uid="{560E2D07-9583-414E-891B-A5CD90510494}"/>
  </bookViews>
  <sheets>
    <sheet name="Data" sheetId="1" r:id="rId1"/>
    <sheet name="Pivot" sheetId="2" r:id="rId2"/>
    <sheet name="Ques" sheetId="6" r:id="rId3"/>
    <sheet name="Dashboard 1" sheetId="7" r:id="rId4"/>
  </sheets>
  <definedNames>
    <definedName name="_xlnm._FilterDatabase" localSheetId="0" hidden="1">Data!$A$1:$O$971</definedName>
    <definedName name="Slicer_device_location">#N/A</definedName>
    <definedName name="Slicer_payment_mod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2" l="1"/>
  <c r="M8" i="2"/>
  <c r="L8" i="2"/>
  <c r="O8" i="2"/>
  <c r="N8" i="2"/>
</calcChain>
</file>

<file path=xl/sharedStrings.xml><?xml version="1.0" encoding="utf-8"?>
<sst xmlns="http://schemas.openxmlformats.org/spreadsheetml/2006/main" count="6890" uniqueCount="1953">
  <si>
    <t>transaction_id</t>
  </si>
  <si>
    <t>user_id</t>
  </si>
  <si>
    <t>transaction_amount</t>
  </si>
  <si>
    <t>transaction_type</t>
  </si>
  <si>
    <t>payment_mode</t>
  </si>
  <si>
    <t>device_type</t>
  </si>
  <si>
    <t>device_location</t>
  </si>
  <si>
    <t>account_age_days</t>
  </si>
  <si>
    <t>transaction_hour</t>
  </si>
  <si>
    <t>previous_failed_attempts</t>
  </si>
  <si>
    <t>avg_transaction_amount</t>
  </si>
  <si>
    <t>is_international</t>
  </si>
  <si>
    <t>ip_risk_score</t>
  </si>
  <si>
    <t>login_attempts_last_24h</t>
  </si>
  <si>
    <t>fraud_label</t>
  </si>
  <si>
    <t>T1</t>
  </si>
  <si>
    <t>U3756</t>
  </si>
  <si>
    <t>Transfer</t>
  </si>
  <si>
    <t>UPI</t>
  </si>
  <si>
    <t>Web</t>
  </si>
  <si>
    <t>Hyderabad</t>
  </si>
  <si>
    <t>0</t>
  </si>
  <si>
    <t>T2</t>
  </si>
  <si>
    <t>U7899</t>
  </si>
  <si>
    <t>Payment</t>
  </si>
  <si>
    <t>Wallet</t>
  </si>
  <si>
    <t>iOS</t>
  </si>
  <si>
    <t>T3</t>
  </si>
  <si>
    <t>U1765</t>
  </si>
  <si>
    <t>Card</t>
  </si>
  <si>
    <t>Android</t>
  </si>
  <si>
    <t>Chennai</t>
  </si>
  <si>
    <t>T4</t>
  </si>
  <si>
    <t>U8850</t>
  </si>
  <si>
    <t>T5</t>
  </si>
  <si>
    <t>U9049</t>
  </si>
  <si>
    <t>Delhi</t>
  </si>
  <si>
    <t>T6</t>
  </si>
  <si>
    <t>U1787</t>
  </si>
  <si>
    <t>NetBanking</t>
  </si>
  <si>
    <t>T7</t>
  </si>
  <si>
    <t>U8763</t>
  </si>
  <si>
    <t>T8</t>
  </si>
  <si>
    <t>U1439</t>
  </si>
  <si>
    <t>T9</t>
  </si>
  <si>
    <t>U6660</t>
  </si>
  <si>
    <t>Mumbai</t>
  </si>
  <si>
    <t>T10</t>
  </si>
  <si>
    <t>U3566</t>
  </si>
  <si>
    <t>T11</t>
  </si>
  <si>
    <t>U7074</t>
  </si>
  <si>
    <t>Withdrawal</t>
  </si>
  <si>
    <t>T12</t>
  </si>
  <si>
    <t>U4776</t>
  </si>
  <si>
    <t>T13</t>
  </si>
  <si>
    <t>U2955</t>
  </si>
  <si>
    <t>Bangalore</t>
  </si>
  <si>
    <t>T14</t>
  </si>
  <si>
    <t>U8947</t>
  </si>
  <si>
    <t>T15</t>
  </si>
  <si>
    <t>U7312</t>
  </si>
  <si>
    <t>T16</t>
  </si>
  <si>
    <t>U2252</t>
  </si>
  <si>
    <t>T17</t>
  </si>
  <si>
    <t>U2234</t>
  </si>
  <si>
    <t>T18</t>
  </si>
  <si>
    <t>U5276</t>
  </si>
  <si>
    <t>T19</t>
  </si>
  <si>
    <t>U4164</t>
  </si>
  <si>
    <t>T20</t>
  </si>
  <si>
    <t>U2630</t>
  </si>
  <si>
    <t>T21</t>
  </si>
  <si>
    <t>U9283</t>
  </si>
  <si>
    <t>T22</t>
  </si>
  <si>
    <t>U6747</t>
  </si>
  <si>
    <t>T23</t>
  </si>
  <si>
    <t>U1181</t>
  </si>
  <si>
    <t>T24</t>
  </si>
  <si>
    <t>U4203</t>
  </si>
  <si>
    <t>T25</t>
  </si>
  <si>
    <t>U4808</t>
  </si>
  <si>
    <t>T26</t>
  </si>
  <si>
    <t>U3308</t>
  </si>
  <si>
    <t>T27</t>
  </si>
  <si>
    <t>U1472</t>
  </si>
  <si>
    <t>T28</t>
  </si>
  <si>
    <t>U8397</t>
  </si>
  <si>
    <t>T29</t>
  </si>
  <si>
    <t>U9198</t>
  </si>
  <si>
    <t>T30</t>
  </si>
  <si>
    <t>U8334</t>
  </si>
  <si>
    <t>T31</t>
  </si>
  <si>
    <t>U2407</t>
  </si>
  <si>
    <t>T32</t>
  </si>
  <si>
    <t>U7256</t>
  </si>
  <si>
    <t>T33</t>
  </si>
  <si>
    <t>U5506</t>
  </si>
  <si>
    <t>T34</t>
  </si>
  <si>
    <t>U5582</t>
  </si>
  <si>
    <t>T35</t>
  </si>
  <si>
    <t>U3759</t>
  </si>
  <si>
    <t>T36</t>
  </si>
  <si>
    <t>U2802</t>
  </si>
  <si>
    <t>T37</t>
  </si>
  <si>
    <t>U8637</t>
  </si>
  <si>
    <t>T38</t>
  </si>
  <si>
    <t>U4639</t>
  </si>
  <si>
    <t>T39</t>
  </si>
  <si>
    <t>U3206</t>
  </si>
  <si>
    <t>T40</t>
  </si>
  <si>
    <t>U9553</t>
  </si>
  <si>
    <t>T41</t>
  </si>
  <si>
    <t>U4277</t>
  </si>
  <si>
    <t>T42</t>
  </si>
  <si>
    <t>U6751</t>
  </si>
  <si>
    <t>T43</t>
  </si>
  <si>
    <t>U2054</t>
  </si>
  <si>
    <t>T44</t>
  </si>
  <si>
    <t>U6523</t>
  </si>
  <si>
    <t>T45</t>
  </si>
  <si>
    <t>U1346</t>
  </si>
  <si>
    <t>T46</t>
  </si>
  <si>
    <t>U1899</t>
  </si>
  <si>
    <t>T47</t>
  </si>
  <si>
    <t>U7634</t>
  </si>
  <si>
    <t>T48</t>
  </si>
  <si>
    <t>U6799</t>
  </si>
  <si>
    <t>T49</t>
  </si>
  <si>
    <t>U9575</t>
  </si>
  <si>
    <t>T50</t>
  </si>
  <si>
    <t>U6463</t>
  </si>
  <si>
    <t>T51</t>
  </si>
  <si>
    <t>U9688</t>
  </si>
  <si>
    <t>T52</t>
  </si>
  <si>
    <t>U8581</t>
  </si>
  <si>
    <t>T53</t>
  </si>
  <si>
    <t>U9669</t>
  </si>
  <si>
    <t>T54</t>
  </si>
  <si>
    <t>U8665</t>
  </si>
  <si>
    <t>T55</t>
  </si>
  <si>
    <t>U2603</t>
  </si>
  <si>
    <t>T56</t>
  </si>
  <si>
    <t>U1488</t>
  </si>
  <si>
    <t>T57</t>
  </si>
  <si>
    <t>U4896</t>
  </si>
  <si>
    <t>T58</t>
  </si>
  <si>
    <t>U7117</t>
  </si>
  <si>
    <t>T59</t>
  </si>
  <si>
    <t>U6287</t>
  </si>
  <si>
    <t>T60</t>
  </si>
  <si>
    <t>U3018</t>
  </si>
  <si>
    <t>T61</t>
  </si>
  <si>
    <t>U1357</t>
  </si>
  <si>
    <t>T62</t>
  </si>
  <si>
    <t>U7561</t>
  </si>
  <si>
    <t>T63</t>
  </si>
  <si>
    <t>U8749</t>
  </si>
  <si>
    <t>T64</t>
  </si>
  <si>
    <t>U1808</t>
  </si>
  <si>
    <t>T65</t>
  </si>
  <si>
    <t>U8448</t>
  </si>
  <si>
    <t>T66</t>
  </si>
  <si>
    <t>U1709</t>
  </si>
  <si>
    <t>T67</t>
  </si>
  <si>
    <t>U9847</t>
  </si>
  <si>
    <t>T68</t>
  </si>
  <si>
    <t>U1177</t>
  </si>
  <si>
    <t>T69</t>
  </si>
  <si>
    <t>U3551</t>
  </si>
  <si>
    <t>T70</t>
  </si>
  <si>
    <t>U5572</t>
  </si>
  <si>
    <t>T71</t>
  </si>
  <si>
    <t>U5611</t>
  </si>
  <si>
    <t>T72</t>
  </si>
  <si>
    <t>U3282</t>
  </si>
  <si>
    <t>T73</t>
  </si>
  <si>
    <t>U1105</t>
  </si>
  <si>
    <t>T74</t>
  </si>
  <si>
    <t>U6842</t>
  </si>
  <si>
    <t>T75</t>
  </si>
  <si>
    <t>U7788</t>
  </si>
  <si>
    <t>T76</t>
  </si>
  <si>
    <t>U4108</t>
  </si>
  <si>
    <t>T77</t>
  </si>
  <si>
    <t>U9241</t>
  </si>
  <si>
    <t>T78</t>
  </si>
  <si>
    <t>U1267</t>
  </si>
  <si>
    <t>T79</t>
  </si>
  <si>
    <t>U5248</t>
  </si>
  <si>
    <t>T80</t>
  </si>
  <si>
    <t>U6998</t>
  </si>
  <si>
    <t>T81</t>
  </si>
  <si>
    <t>U3877</t>
  </si>
  <si>
    <t>T82</t>
  </si>
  <si>
    <t>U1520</t>
  </si>
  <si>
    <t>T83</t>
  </si>
  <si>
    <t>U1170</t>
  </si>
  <si>
    <t>T84</t>
  </si>
  <si>
    <t>U5484</t>
  </si>
  <si>
    <t>T85</t>
  </si>
  <si>
    <t>U9322</t>
  </si>
  <si>
    <t>T86</t>
  </si>
  <si>
    <t>U3983</t>
  </si>
  <si>
    <t>T87</t>
  </si>
  <si>
    <t>U2552</t>
  </si>
  <si>
    <t>T88</t>
  </si>
  <si>
    <t>U3989</t>
  </si>
  <si>
    <t>T89</t>
  </si>
  <si>
    <t>U4029</t>
  </si>
  <si>
    <t>T90</t>
  </si>
  <si>
    <t>U5882</t>
  </si>
  <si>
    <t>T91</t>
  </si>
  <si>
    <t>U4389</t>
  </si>
  <si>
    <t>T92</t>
  </si>
  <si>
    <t>U4396</t>
  </si>
  <si>
    <t>T93</t>
  </si>
  <si>
    <t>U8733</t>
  </si>
  <si>
    <t>T94</t>
  </si>
  <si>
    <t>U4576</t>
  </si>
  <si>
    <t>T95</t>
  </si>
  <si>
    <t>U3234</t>
  </si>
  <si>
    <t>T96</t>
  </si>
  <si>
    <t>U1521</t>
  </si>
  <si>
    <t>T97</t>
  </si>
  <si>
    <t>U4929</t>
  </si>
  <si>
    <t>T98</t>
  </si>
  <si>
    <t>T99</t>
  </si>
  <si>
    <t>U1266</t>
  </si>
  <si>
    <t>T100</t>
  </si>
  <si>
    <t>U8394</t>
  </si>
  <si>
    <t>T101</t>
  </si>
  <si>
    <t>U7803</t>
  </si>
  <si>
    <t>T102</t>
  </si>
  <si>
    <t>U7909</t>
  </si>
  <si>
    <t>T103</t>
  </si>
  <si>
    <t>U5779</t>
  </si>
  <si>
    <t>T104</t>
  </si>
  <si>
    <t>U1616</t>
  </si>
  <si>
    <t>T105</t>
  </si>
  <si>
    <t>U6888</t>
  </si>
  <si>
    <t>T106</t>
  </si>
  <si>
    <t>U1735</t>
  </si>
  <si>
    <t>T107</t>
  </si>
  <si>
    <t>U2553</t>
  </si>
  <si>
    <t>T108</t>
  </si>
  <si>
    <t>U9301</t>
  </si>
  <si>
    <t>T109</t>
  </si>
  <si>
    <t>U3195</t>
  </si>
  <si>
    <t>T110</t>
  </si>
  <si>
    <t>U9467</t>
  </si>
  <si>
    <t>T111</t>
  </si>
  <si>
    <t>U9234</t>
  </si>
  <si>
    <t>T112</t>
  </si>
  <si>
    <t>U9082</t>
  </si>
  <si>
    <t>T113</t>
  </si>
  <si>
    <t>U8186</t>
  </si>
  <si>
    <t>T114</t>
  </si>
  <si>
    <t>U9675</t>
  </si>
  <si>
    <t>T115</t>
  </si>
  <si>
    <t>U2339</t>
  </si>
  <si>
    <t>T116</t>
  </si>
  <si>
    <t>U5538</t>
  </si>
  <si>
    <t>T117</t>
  </si>
  <si>
    <t>U4935</t>
  </si>
  <si>
    <t>T118</t>
  </si>
  <si>
    <t>T119</t>
  </si>
  <si>
    <t>U2322</t>
  </si>
  <si>
    <t>T120</t>
  </si>
  <si>
    <t>U9154</t>
  </si>
  <si>
    <t>T121</t>
  </si>
  <si>
    <t>U7077</t>
  </si>
  <si>
    <t>T122</t>
  </si>
  <si>
    <t>U5583</t>
  </si>
  <si>
    <t>T123</t>
  </si>
  <si>
    <t>U2161</t>
  </si>
  <si>
    <t>T124</t>
  </si>
  <si>
    <t>U7575</t>
  </si>
  <si>
    <t>T125</t>
  </si>
  <si>
    <t>U4491</t>
  </si>
  <si>
    <t>T126</t>
  </si>
  <si>
    <t>U5632</t>
  </si>
  <si>
    <t>T127</t>
  </si>
  <si>
    <t>U6524</t>
  </si>
  <si>
    <t>T128</t>
  </si>
  <si>
    <t>U3140</t>
  </si>
  <si>
    <t>T129</t>
  </si>
  <si>
    <t>U5039</t>
  </si>
  <si>
    <t>T130</t>
  </si>
  <si>
    <t>U1958</t>
  </si>
  <si>
    <t>T131</t>
  </si>
  <si>
    <t>U5840</t>
  </si>
  <si>
    <t>T132</t>
  </si>
  <si>
    <t>U3019</t>
  </si>
  <si>
    <t>T133</t>
  </si>
  <si>
    <t>U2050</t>
  </si>
  <si>
    <t>T134</t>
  </si>
  <si>
    <t>U7905</t>
  </si>
  <si>
    <t>T135</t>
  </si>
  <si>
    <t>U1699</t>
  </si>
  <si>
    <t>T136</t>
  </si>
  <si>
    <t>U2974</t>
  </si>
  <si>
    <t>T137</t>
  </si>
  <si>
    <t>U2686</t>
  </si>
  <si>
    <t>T138</t>
  </si>
  <si>
    <t>U2979</t>
  </si>
  <si>
    <t>T139</t>
  </si>
  <si>
    <t>U6022</t>
  </si>
  <si>
    <t>T140</t>
  </si>
  <si>
    <t>U5263</t>
  </si>
  <si>
    <t>T141</t>
  </si>
  <si>
    <t>U1515</t>
  </si>
  <si>
    <t>T142</t>
  </si>
  <si>
    <t>U5875</t>
  </si>
  <si>
    <t>T143</t>
  </si>
  <si>
    <t>U2726</t>
  </si>
  <si>
    <t>T144</t>
  </si>
  <si>
    <t>U4077</t>
  </si>
  <si>
    <t>T145</t>
  </si>
  <si>
    <t>U1247</t>
  </si>
  <si>
    <t>T146</t>
  </si>
  <si>
    <t>U3238</t>
  </si>
  <si>
    <t>T147</t>
  </si>
  <si>
    <t>U6324</t>
  </si>
  <si>
    <t>T148</t>
  </si>
  <si>
    <t>U4212</t>
  </si>
  <si>
    <t>T149</t>
  </si>
  <si>
    <t>U8724</t>
  </si>
  <si>
    <t>T150</t>
  </si>
  <si>
    <t>U7392</t>
  </si>
  <si>
    <t>T151</t>
  </si>
  <si>
    <t>U9335</t>
  </si>
  <si>
    <t>T152</t>
  </si>
  <si>
    <t>U9792</t>
  </si>
  <si>
    <t>T153</t>
  </si>
  <si>
    <t>U9965</t>
  </si>
  <si>
    <t>T154</t>
  </si>
  <si>
    <t>U1732</t>
  </si>
  <si>
    <t>T155</t>
  </si>
  <si>
    <t>U7026</t>
  </si>
  <si>
    <t>T156</t>
  </si>
  <si>
    <t>U7031</t>
  </si>
  <si>
    <t>T157</t>
  </si>
  <si>
    <t>U8987</t>
  </si>
  <si>
    <t>T158</t>
  </si>
  <si>
    <t>U3605</t>
  </si>
  <si>
    <t>T159</t>
  </si>
  <si>
    <t>U5651</t>
  </si>
  <si>
    <t>T160</t>
  </si>
  <si>
    <t>U5141</t>
  </si>
  <si>
    <t>T161</t>
  </si>
  <si>
    <t>U4152</t>
  </si>
  <si>
    <t>T162</t>
  </si>
  <si>
    <t>U1106</t>
  </si>
  <si>
    <t>T163</t>
  </si>
  <si>
    <t>U8583</t>
  </si>
  <si>
    <t>T164</t>
  </si>
  <si>
    <t>U1077</t>
  </si>
  <si>
    <t>T165</t>
  </si>
  <si>
    <t>U1822</t>
  </si>
  <si>
    <t>T166</t>
  </si>
  <si>
    <t>U6928</t>
  </si>
  <si>
    <t>T167</t>
  </si>
  <si>
    <t>U1821</t>
  </si>
  <si>
    <t>T168</t>
  </si>
  <si>
    <t>U7504</t>
  </si>
  <si>
    <t>T169</t>
  </si>
  <si>
    <t>U5838</t>
  </si>
  <si>
    <t>T170</t>
  </si>
  <si>
    <t>U6924</t>
  </si>
  <si>
    <t>T171</t>
  </si>
  <si>
    <t>U7781</t>
  </si>
  <si>
    <t>T172</t>
  </si>
  <si>
    <t>U3476</t>
  </si>
  <si>
    <t>T173</t>
  </si>
  <si>
    <t>U5190</t>
  </si>
  <si>
    <t>T174</t>
  </si>
  <si>
    <t>U6775</t>
  </si>
  <si>
    <t>T175</t>
  </si>
  <si>
    <t>U8577</t>
  </si>
  <si>
    <t>T176</t>
  </si>
  <si>
    <t>U5318</t>
  </si>
  <si>
    <t>T177</t>
  </si>
  <si>
    <t>U3312</t>
  </si>
  <si>
    <t>T178</t>
  </si>
  <si>
    <t>U3335</t>
  </si>
  <si>
    <t>T179</t>
  </si>
  <si>
    <t>U1954</t>
  </si>
  <si>
    <t>T180</t>
  </si>
  <si>
    <t>U6362</t>
  </si>
  <si>
    <t>T181</t>
  </si>
  <si>
    <t>U4441</t>
  </si>
  <si>
    <t>T182</t>
  </si>
  <si>
    <t>U5334</t>
  </si>
  <si>
    <t>T183</t>
  </si>
  <si>
    <t>U4448</t>
  </si>
  <si>
    <t>T184</t>
  </si>
  <si>
    <t>U1666</t>
  </si>
  <si>
    <t>T185</t>
  </si>
  <si>
    <t>U9132</t>
  </si>
  <si>
    <t>T186</t>
  </si>
  <si>
    <t>U4137</t>
  </si>
  <si>
    <t>T187</t>
  </si>
  <si>
    <t>U4280</t>
  </si>
  <si>
    <t>T188</t>
  </si>
  <si>
    <t>U4783</t>
  </si>
  <si>
    <t>T189</t>
  </si>
  <si>
    <t>U4342</t>
  </si>
  <si>
    <t>T190</t>
  </si>
  <si>
    <t>U7832</t>
  </si>
  <si>
    <t>T191</t>
  </si>
  <si>
    <t>U2155</t>
  </si>
  <si>
    <t>T192</t>
  </si>
  <si>
    <t>U6183</t>
  </si>
  <si>
    <t>T193</t>
  </si>
  <si>
    <t>U3650</t>
  </si>
  <si>
    <t>T194</t>
  </si>
  <si>
    <t>U5701</t>
  </si>
  <si>
    <t>T195</t>
  </si>
  <si>
    <t>U8420</t>
  </si>
  <si>
    <t>T196</t>
  </si>
  <si>
    <t>U9588</t>
  </si>
  <si>
    <t>T197</t>
  </si>
  <si>
    <t>U9358</t>
  </si>
  <si>
    <t>T198</t>
  </si>
  <si>
    <t>U5231</t>
  </si>
  <si>
    <t>T199</t>
  </si>
  <si>
    <t>U3939</t>
  </si>
  <si>
    <t>T200</t>
  </si>
  <si>
    <t>U1446</t>
  </si>
  <si>
    <t>T201</t>
  </si>
  <si>
    <t>U1679</t>
  </si>
  <si>
    <t>T202</t>
  </si>
  <si>
    <t>U5356</t>
  </si>
  <si>
    <t>T203</t>
  </si>
  <si>
    <t>U5826</t>
  </si>
  <si>
    <t>T204</t>
  </si>
  <si>
    <t>U6113</t>
  </si>
  <si>
    <t>T205</t>
  </si>
  <si>
    <t>U5101</t>
  </si>
  <si>
    <t>T206</t>
  </si>
  <si>
    <t>U6535</t>
  </si>
  <si>
    <t>T207</t>
  </si>
  <si>
    <t>U5362</t>
  </si>
  <si>
    <t>T208</t>
  </si>
  <si>
    <t>U4000</t>
  </si>
  <si>
    <t>T209</t>
  </si>
  <si>
    <t>U9062</t>
  </si>
  <si>
    <t>T210</t>
  </si>
  <si>
    <t>U4570</t>
  </si>
  <si>
    <t>T211</t>
  </si>
  <si>
    <t>U1634</t>
  </si>
  <si>
    <t>T212</t>
  </si>
  <si>
    <t>U8304</t>
  </si>
  <si>
    <t>T213</t>
  </si>
  <si>
    <t>U2593</t>
  </si>
  <si>
    <t>T214</t>
  </si>
  <si>
    <t>U3997</t>
  </si>
  <si>
    <t>T215</t>
  </si>
  <si>
    <t>U3745</t>
  </si>
  <si>
    <t>T216</t>
  </si>
  <si>
    <t>U1607</t>
  </si>
  <si>
    <t>T217</t>
  </si>
  <si>
    <t>U6936</t>
  </si>
  <si>
    <t>T218</t>
  </si>
  <si>
    <t>U7780</t>
  </si>
  <si>
    <t>T219</t>
  </si>
  <si>
    <t>U3538</t>
  </si>
  <si>
    <t>T220</t>
  </si>
  <si>
    <t>U4982</t>
  </si>
  <si>
    <t>T221</t>
  </si>
  <si>
    <t>U9606</t>
  </si>
  <si>
    <t>T222</t>
  </si>
  <si>
    <t>U2440</t>
  </si>
  <si>
    <t>T223</t>
  </si>
  <si>
    <t>U4595</t>
  </si>
  <si>
    <t>T224</t>
  </si>
  <si>
    <t>U2186</t>
  </si>
  <si>
    <t>T225</t>
  </si>
  <si>
    <t>U1130</t>
  </si>
  <si>
    <t>T226</t>
  </si>
  <si>
    <t>U9700</t>
  </si>
  <si>
    <t>T227</t>
  </si>
  <si>
    <t>U6095</t>
  </si>
  <si>
    <t>T228</t>
  </si>
  <si>
    <t>U8167</t>
  </si>
  <si>
    <t>T229</t>
  </si>
  <si>
    <t>U7347</t>
  </si>
  <si>
    <t>T230</t>
  </si>
  <si>
    <t>U1289</t>
  </si>
  <si>
    <t>T231</t>
  </si>
  <si>
    <t>U1111</t>
  </si>
  <si>
    <t>T232</t>
  </si>
  <si>
    <t>U1878</t>
  </si>
  <si>
    <t>T233</t>
  </si>
  <si>
    <t>U5424</t>
  </si>
  <si>
    <t>T234</t>
  </si>
  <si>
    <t>U5332</t>
  </si>
  <si>
    <t>T235</t>
  </si>
  <si>
    <t>U3511</t>
  </si>
  <si>
    <t>T236</t>
  </si>
  <si>
    <t>T237</t>
  </si>
  <si>
    <t>U9056</t>
  </si>
  <si>
    <t>T238</t>
  </si>
  <si>
    <t>U6531</t>
  </si>
  <si>
    <t>T239</t>
  </si>
  <si>
    <t>U2018</t>
  </si>
  <si>
    <t>T240</t>
  </si>
  <si>
    <t>U7639</t>
  </si>
  <si>
    <t>T241</t>
  </si>
  <si>
    <t>U6347</t>
  </si>
  <si>
    <t>T242</t>
  </si>
  <si>
    <t>U7705</t>
  </si>
  <si>
    <t>T243</t>
  </si>
  <si>
    <t>U4337</t>
  </si>
  <si>
    <t>T244</t>
  </si>
  <si>
    <t>U7667</t>
  </si>
  <si>
    <t>T245</t>
  </si>
  <si>
    <t>U3625</t>
  </si>
  <si>
    <t>T246</t>
  </si>
  <si>
    <t>U6458</t>
  </si>
  <si>
    <t>T247</t>
  </si>
  <si>
    <t>U4017</t>
  </si>
  <si>
    <t>T248</t>
  </si>
  <si>
    <t>U7376</t>
  </si>
  <si>
    <t>T249</t>
  </si>
  <si>
    <t>U4452</t>
  </si>
  <si>
    <t>T250</t>
  </si>
  <si>
    <t>U6082</t>
  </si>
  <si>
    <t>T251</t>
  </si>
  <si>
    <t>U6484</t>
  </si>
  <si>
    <t>T252</t>
  </si>
  <si>
    <t>U1877</t>
  </si>
  <si>
    <t>T253</t>
  </si>
  <si>
    <t>U2994</t>
  </si>
  <si>
    <t>T254</t>
  </si>
  <si>
    <t>U7401</t>
  </si>
  <si>
    <t>T255</t>
  </si>
  <si>
    <t>T256</t>
  </si>
  <si>
    <t>U1242</t>
  </si>
  <si>
    <t>T257</t>
  </si>
  <si>
    <t>U9237</t>
  </si>
  <si>
    <t>T258</t>
  </si>
  <si>
    <t>U8720</t>
  </si>
  <si>
    <t>T259</t>
  </si>
  <si>
    <t>U3944</t>
  </si>
  <si>
    <t>T260</t>
  </si>
  <si>
    <t>U7319</t>
  </si>
  <si>
    <t>T261</t>
  </si>
  <si>
    <t>U3124</t>
  </si>
  <si>
    <t>T262</t>
  </si>
  <si>
    <t>U9665</t>
  </si>
  <si>
    <t>T263</t>
  </si>
  <si>
    <t>U8760</t>
  </si>
  <si>
    <t>T264</t>
  </si>
  <si>
    <t>U9441</t>
  </si>
  <si>
    <t>T265</t>
  </si>
  <si>
    <t>U7291</t>
  </si>
  <si>
    <t>T266</t>
  </si>
  <si>
    <t>U7048</t>
  </si>
  <si>
    <t>T267</t>
  </si>
  <si>
    <t>U7718</t>
  </si>
  <si>
    <t>T268</t>
  </si>
  <si>
    <t>U3596</t>
  </si>
  <si>
    <t>T269</t>
  </si>
  <si>
    <t>U8731</t>
  </si>
  <si>
    <t>T270</t>
  </si>
  <si>
    <t>U5602</t>
  </si>
  <si>
    <t>T271</t>
  </si>
  <si>
    <t>U9776</t>
  </si>
  <si>
    <t>T272</t>
  </si>
  <si>
    <t>U1870</t>
  </si>
  <si>
    <t>T273</t>
  </si>
  <si>
    <t>U3437</t>
  </si>
  <si>
    <t>T274</t>
  </si>
  <si>
    <t>U8248</t>
  </si>
  <si>
    <t>T275</t>
  </si>
  <si>
    <t>U1062</t>
  </si>
  <si>
    <t>T276</t>
  </si>
  <si>
    <t>U9482</t>
  </si>
  <si>
    <t>T277</t>
  </si>
  <si>
    <t>U6893</t>
  </si>
  <si>
    <t>T278</t>
  </si>
  <si>
    <t>U1536</t>
  </si>
  <si>
    <t>T279</t>
  </si>
  <si>
    <t>U4898</t>
  </si>
  <si>
    <t>T280</t>
  </si>
  <si>
    <t>U2474</t>
  </si>
  <si>
    <t>T281</t>
  </si>
  <si>
    <t>U5254</t>
  </si>
  <si>
    <t>T282</t>
  </si>
  <si>
    <t>U9624</t>
  </si>
  <si>
    <t>T283</t>
  </si>
  <si>
    <t>U3963</t>
  </si>
  <si>
    <t>T284</t>
  </si>
  <si>
    <t>U7495</t>
  </si>
  <si>
    <t>T285</t>
  </si>
  <si>
    <t>U6593</t>
  </si>
  <si>
    <t>T286</t>
  </si>
  <si>
    <t>U8855</t>
  </si>
  <si>
    <t>T287</t>
  </si>
  <si>
    <t>U8086</t>
  </si>
  <si>
    <t>T288</t>
  </si>
  <si>
    <t>U2601</t>
  </si>
  <si>
    <t>T289</t>
  </si>
  <si>
    <t>U8290</t>
  </si>
  <si>
    <t>T290</t>
  </si>
  <si>
    <t>U5456</t>
  </si>
  <si>
    <t>T291</t>
  </si>
  <si>
    <t>U4415</t>
  </si>
  <si>
    <t>T292</t>
  </si>
  <si>
    <t>U9055</t>
  </si>
  <si>
    <t>T293</t>
  </si>
  <si>
    <t>U1075</t>
  </si>
  <si>
    <t>T294</t>
  </si>
  <si>
    <t>U1739</t>
  </si>
  <si>
    <t>T295</t>
  </si>
  <si>
    <t>U7896</t>
  </si>
  <si>
    <t>T296</t>
  </si>
  <si>
    <t>U9390</t>
  </si>
  <si>
    <t>T297</t>
  </si>
  <si>
    <t>U4947</t>
  </si>
  <si>
    <t>T298</t>
  </si>
  <si>
    <t>U7708</t>
  </si>
  <si>
    <t>T299</t>
  </si>
  <si>
    <t>U3105</t>
  </si>
  <si>
    <t>T300</t>
  </si>
  <si>
    <t>U2793</t>
  </si>
  <si>
    <t>T301</t>
  </si>
  <si>
    <t>U5700</t>
  </si>
  <si>
    <t>T302</t>
  </si>
  <si>
    <t>U4599</t>
  </si>
  <si>
    <t>T303</t>
  </si>
  <si>
    <t>U6839</t>
  </si>
  <si>
    <t>T304</t>
  </si>
  <si>
    <t>U2332</t>
  </si>
  <si>
    <t>T305</t>
  </si>
  <si>
    <t>U7942</t>
  </si>
  <si>
    <t>T306</t>
  </si>
  <si>
    <t>U5148</t>
  </si>
  <si>
    <t>T307</t>
  </si>
  <si>
    <t>U6318</t>
  </si>
  <si>
    <t>T308</t>
  </si>
  <si>
    <t>U6076</t>
  </si>
  <si>
    <t>T309</t>
  </si>
  <si>
    <t>U3242</t>
  </si>
  <si>
    <t>T310</t>
  </si>
  <si>
    <t>U4484</t>
  </si>
  <si>
    <t>T311</t>
  </si>
  <si>
    <t>U1115</t>
  </si>
  <si>
    <t>T312</t>
  </si>
  <si>
    <t>U6968</t>
  </si>
  <si>
    <t>T313</t>
  </si>
  <si>
    <t>T314</t>
  </si>
  <si>
    <t>U7650</t>
  </si>
  <si>
    <t>T315</t>
  </si>
  <si>
    <t>U3066</t>
  </si>
  <si>
    <t>T316</t>
  </si>
  <si>
    <t>U6962</t>
  </si>
  <si>
    <t>T317</t>
  </si>
  <si>
    <t>U4681</t>
  </si>
  <si>
    <t>T318</t>
  </si>
  <si>
    <t>U8014</t>
  </si>
  <si>
    <t>T319</t>
  </si>
  <si>
    <t>U5063</t>
  </si>
  <si>
    <t>T320</t>
  </si>
  <si>
    <t>U7426</t>
  </si>
  <si>
    <t>T321</t>
  </si>
  <si>
    <t>T322</t>
  </si>
  <si>
    <t>U6034</t>
  </si>
  <si>
    <t>T323</t>
  </si>
  <si>
    <t>U9239</t>
  </si>
  <si>
    <t>T324</t>
  </si>
  <si>
    <t>U6130</t>
  </si>
  <si>
    <t>T325</t>
  </si>
  <si>
    <t>U4038</t>
  </si>
  <si>
    <t>T326</t>
  </si>
  <si>
    <t>U5192</t>
  </si>
  <si>
    <t>T327</t>
  </si>
  <si>
    <t>U3207</t>
  </si>
  <si>
    <t>T328</t>
  </si>
  <si>
    <t>U7857</t>
  </si>
  <si>
    <t>T329</t>
  </si>
  <si>
    <t>U8267</t>
  </si>
  <si>
    <t>T330</t>
  </si>
  <si>
    <t>U1086</t>
  </si>
  <si>
    <t>T331</t>
  </si>
  <si>
    <t>U7303</t>
  </si>
  <si>
    <t>T332</t>
  </si>
  <si>
    <t>U7931</t>
  </si>
  <si>
    <t>T333</t>
  </si>
  <si>
    <t>U8988</t>
  </si>
  <si>
    <t>T334</t>
  </si>
  <si>
    <t>U6950</t>
  </si>
  <si>
    <t>T335</t>
  </si>
  <si>
    <t>U4172</t>
  </si>
  <si>
    <t>T336</t>
  </si>
  <si>
    <t>U3356</t>
  </si>
  <si>
    <t>T337</t>
  </si>
  <si>
    <t>U1489</t>
  </si>
  <si>
    <t>T338</t>
  </si>
  <si>
    <t>U7732</t>
  </si>
  <si>
    <t>T339</t>
  </si>
  <si>
    <t>U9539</t>
  </si>
  <si>
    <t>T340</t>
  </si>
  <si>
    <t>U5372</t>
  </si>
  <si>
    <t>T341</t>
  </si>
  <si>
    <t>U1767</t>
  </si>
  <si>
    <t>T342</t>
  </si>
  <si>
    <t>U3835</t>
  </si>
  <si>
    <t>T343</t>
  </si>
  <si>
    <t>U4586</t>
  </si>
  <si>
    <t>T344</t>
  </si>
  <si>
    <t>U4259</t>
  </si>
  <si>
    <t>T345</t>
  </si>
  <si>
    <t>U2597</t>
  </si>
  <si>
    <t>T346</t>
  </si>
  <si>
    <t>U9093</t>
  </si>
  <si>
    <t>T347</t>
  </si>
  <si>
    <t>U7947</t>
  </si>
  <si>
    <t>T348</t>
  </si>
  <si>
    <t>U3681</t>
  </si>
  <si>
    <t>T349</t>
  </si>
  <si>
    <t>U5836</t>
  </si>
  <si>
    <t>T350</t>
  </si>
  <si>
    <t>U8508</t>
  </si>
  <si>
    <t>T351</t>
  </si>
  <si>
    <t>U4018</t>
  </si>
  <si>
    <t>T352</t>
  </si>
  <si>
    <t>U6920</t>
  </si>
  <si>
    <t>T353</t>
  </si>
  <si>
    <t>U4190</t>
  </si>
  <si>
    <t>T354</t>
  </si>
  <si>
    <t>U6860</t>
  </si>
  <si>
    <t>T355</t>
  </si>
  <si>
    <t>U1692</t>
  </si>
  <si>
    <t>T356</t>
  </si>
  <si>
    <t>U3132</t>
  </si>
  <si>
    <t>T357</t>
  </si>
  <si>
    <t>U4138</t>
  </si>
  <si>
    <t>T358</t>
  </si>
  <si>
    <t>U4275</t>
  </si>
  <si>
    <t>T359</t>
  </si>
  <si>
    <t>U5622</t>
  </si>
  <si>
    <t>T360</t>
  </si>
  <si>
    <t>U4950</t>
  </si>
  <si>
    <t>T361</t>
  </si>
  <si>
    <t>T362</t>
  </si>
  <si>
    <t>U1587</t>
  </si>
  <si>
    <t>T363</t>
  </si>
  <si>
    <t>U6415</t>
  </si>
  <si>
    <t>T364</t>
  </si>
  <si>
    <t>U5633</t>
  </si>
  <si>
    <t>T365</t>
  </si>
  <si>
    <t>U5406</t>
  </si>
  <si>
    <t>T366</t>
  </si>
  <si>
    <t>U2835</t>
  </si>
  <si>
    <t>T367</t>
  </si>
  <si>
    <t>U6618</t>
  </si>
  <si>
    <t>T368</t>
  </si>
  <si>
    <t>U7399</t>
  </si>
  <si>
    <t>T369</t>
  </si>
  <si>
    <t>U1154</t>
  </si>
  <si>
    <t>T370</t>
  </si>
  <si>
    <t>U8287</t>
  </si>
  <si>
    <t>T371</t>
  </si>
  <si>
    <t>U6505</t>
  </si>
  <si>
    <t>T372</t>
  </si>
  <si>
    <t>U8105</t>
  </si>
  <si>
    <t>T373</t>
  </si>
  <si>
    <t>U4498</t>
  </si>
  <si>
    <t>T374</t>
  </si>
  <si>
    <t>U5453</t>
  </si>
  <si>
    <t>T375</t>
  </si>
  <si>
    <t>T376</t>
  </si>
  <si>
    <t>U5209</t>
  </si>
  <si>
    <t>T377</t>
  </si>
  <si>
    <t>U7353</t>
  </si>
  <si>
    <t>T378</t>
  </si>
  <si>
    <t>U1466</t>
  </si>
  <si>
    <t>T379</t>
  </si>
  <si>
    <t>U4984</t>
  </si>
  <si>
    <t>T380</t>
  </si>
  <si>
    <t>U2096</t>
  </si>
  <si>
    <t>T381</t>
  </si>
  <si>
    <t>U6980</t>
  </si>
  <si>
    <t>T382</t>
  </si>
  <si>
    <t>U5379</t>
  </si>
  <si>
    <t>T383</t>
  </si>
  <si>
    <t>U6878</t>
  </si>
  <si>
    <t>T384</t>
  </si>
  <si>
    <t>U4334</t>
  </si>
  <si>
    <t>T385</t>
  </si>
  <si>
    <t>U3821</t>
  </si>
  <si>
    <t>T386</t>
  </si>
  <si>
    <t>U2195</t>
  </si>
  <si>
    <t>T387</t>
  </si>
  <si>
    <t>U4715</t>
  </si>
  <si>
    <t>T388</t>
  </si>
  <si>
    <t>U6071</t>
  </si>
  <si>
    <t>T389</t>
  </si>
  <si>
    <t>U2776</t>
  </si>
  <si>
    <t>T390</t>
  </si>
  <si>
    <t>U4547</t>
  </si>
  <si>
    <t>T391</t>
  </si>
  <si>
    <t>U2373</t>
  </si>
  <si>
    <t>T392</t>
  </si>
  <si>
    <t>U5788</t>
  </si>
  <si>
    <t>T393</t>
  </si>
  <si>
    <t>U3370</t>
  </si>
  <si>
    <t>T394</t>
  </si>
  <si>
    <t>U6248</t>
  </si>
  <si>
    <t>T395</t>
  </si>
  <si>
    <t>U3513</t>
  </si>
  <si>
    <t>T396</t>
  </si>
  <si>
    <t>U6335</t>
  </si>
  <si>
    <t>T397</t>
  </si>
  <si>
    <t>U2505</t>
  </si>
  <si>
    <t>T398</t>
  </si>
  <si>
    <t>U8888</t>
  </si>
  <si>
    <t>T399</t>
  </si>
  <si>
    <t>U3797</t>
  </si>
  <si>
    <t>T400</t>
  </si>
  <si>
    <t>U6641</t>
  </si>
  <si>
    <t>T401</t>
  </si>
  <si>
    <t>U2912</t>
  </si>
  <si>
    <t>T402</t>
  </si>
  <si>
    <t>U3030</t>
  </si>
  <si>
    <t>T403</t>
  </si>
  <si>
    <t>U2631</t>
  </si>
  <si>
    <t>T404</t>
  </si>
  <si>
    <t>U9534</t>
  </si>
  <si>
    <t>T405</t>
  </si>
  <si>
    <t>U4732</t>
  </si>
  <si>
    <t>T406</t>
  </si>
  <si>
    <t>U7389</t>
  </si>
  <si>
    <t>T407</t>
  </si>
  <si>
    <t>U9418</t>
  </si>
  <si>
    <t>T408</t>
  </si>
  <si>
    <t>U2132</t>
  </si>
  <si>
    <t>T409</t>
  </si>
  <si>
    <t>U1043</t>
  </si>
  <si>
    <t>T410</t>
  </si>
  <si>
    <t>U9670</t>
  </si>
  <si>
    <t>T411</t>
  </si>
  <si>
    <t>U3415</t>
  </si>
  <si>
    <t>T412</t>
  </si>
  <si>
    <t>U4575</t>
  </si>
  <si>
    <t>T413</t>
  </si>
  <si>
    <t>U8835</t>
  </si>
  <si>
    <t>T414</t>
  </si>
  <si>
    <t>U3389</t>
  </si>
  <si>
    <t>T415</t>
  </si>
  <si>
    <t>U5844</t>
  </si>
  <si>
    <t>T416</t>
  </si>
  <si>
    <t>U4351</t>
  </si>
  <si>
    <t>T417</t>
  </si>
  <si>
    <t>U2105</t>
  </si>
  <si>
    <t>T418</t>
  </si>
  <si>
    <t>U6590</t>
  </si>
  <si>
    <t>T419</t>
  </si>
  <si>
    <t>U2012</t>
  </si>
  <si>
    <t>T420</t>
  </si>
  <si>
    <t>U4422</t>
  </si>
  <si>
    <t>T421</t>
  </si>
  <si>
    <t>U9305</t>
  </si>
  <si>
    <t>T422</t>
  </si>
  <si>
    <t>U4607</t>
  </si>
  <si>
    <t>T423</t>
  </si>
  <si>
    <t>U6835</t>
  </si>
  <si>
    <t>T424</t>
  </si>
  <si>
    <t>U8852</t>
  </si>
  <si>
    <t>T425</t>
  </si>
  <si>
    <t>U2276</t>
  </si>
  <si>
    <t>T426</t>
  </si>
  <si>
    <t>U5733</t>
  </si>
  <si>
    <t>T427</t>
  </si>
  <si>
    <t>U5623</t>
  </si>
  <si>
    <t>T428</t>
  </si>
  <si>
    <t>U4587</t>
  </si>
  <si>
    <t>T429</t>
  </si>
  <si>
    <t>U1553</t>
  </si>
  <si>
    <t>T430</t>
  </si>
  <si>
    <t>U6457</t>
  </si>
  <si>
    <t>T431</t>
  </si>
  <si>
    <t>U4350</t>
  </si>
  <si>
    <t>T432</t>
  </si>
  <si>
    <t>T433</t>
  </si>
  <si>
    <t>U4296</t>
  </si>
  <si>
    <t>T434</t>
  </si>
  <si>
    <t>U1390</t>
  </si>
  <si>
    <t>T435</t>
  </si>
  <si>
    <t>U1218</t>
  </si>
  <si>
    <t>T436</t>
  </si>
  <si>
    <t>U1924</t>
  </si>
  <si>
    <t>T437</t>
  </si>
  <si>
    <t>U5431</t>
  </si>
  <si>
    <t>T438</t>
  </si>
  <si>
    <t>U1724</t>
  </si>
  <si>
    <t>T439</t>
  </si>
  <si>
    <t>U2091</t>
  </si>
  <si>
    <t>T440</t>
  </si>
  <si>
    <t>U9400</t>
  </si>
  <si>
    <t>T441</t>
  </si>
  <si>
    <t>U9211</t>
  </si>
  <si>
    <t>T442</t>
  </si>
  <si>
    <t>U8574</t>
  </si>
  <si>
    <t>T443</t>
  </si>
  <si>
    <t>U9203</t>
  </si>
  <si>
    <t>T444</t>
  </si>
  <si>
    <t>U1662</t>
  </si>
  <si>
    <t>T445</t>
  </si>
  <si>
    <t>U4501</t>
  </si>
  <si>
    <t>T446</t>
  </si>
  <si>
    <t>U4524</t>
  </si>
  <si>
    <t>T447</t>
  </si>
  <si>
    <t>U4243</t>
  </si>
  <si>
    <t>T448</t>
  </si>
  <si>
    <t>U2456</t>
  </si>
  <si>
    <t>T449</t>
  </si>
  <si>
    <t>U3177</t>
  </si>
  <si>
    <t>T450</t>
  </si>
  <si>
    <t>U9808</t>
  </si>
  <si>
    <t>T451</t>
  </si>
  <si>
    <t>U8497</t>
  </si>
  <si>
    <t>T452</t>
  </si>
  <si>
    <t>U6669</t>
  </si>
  <si>
    <t>T453</t>
  </si>
  <si>
    <t>U5044</t>
  </si>
  <si>
    <t>T454</t>
  </si>
  <si>
    <t>U9609</t>
  </si>
  <si>
    <t>T455</t>
  </si>
  <si>
    <t>U9865</t>
  </si>
  <si>
    <t>T456</t>
  </si>
  <si>
    <t>U9057</t>
  </si>
  <si>
    <t>T457</t>
  </si>
  <si>
    <t>U1893</t>
  </si>
  <si>
    <t>T458</t>
  </si>
  <si>
    <t>U3656</t>
  </si>
  <si>
    <t>T459</t>
  </si>
  <si>
    <t>U3809</t>
  </si>
  <si>
    <t>T460</t>
  </si>
  <si>
    <t>U7611</t>
  </si>
  <si>
    <t>T461</t>
  </si>
  <si>
    <t>U1269</t>
  </si>
  <si>
    <t>T462</t>
  </si>
  <si>
    <t>U8229</t>
  </si>
  <si>
    <t>T463</t>
  </si>
  <si>
    <t>U7692</t>
  </si>
  <si>
    <t>T464</t>
  </si>
  <si>
    <t>U4315</t>
  </si>
  <si>
    <t>T465</t>
  </si>
  <si>
    <t>T466</t>
  </si>
  <si>
    <t>U4971</t>
  </si>
  <si>
    <t>T467</t>
  </si>
  <si>
    <t>U7669</t>
  </si>
  <si>
    <t>T468</t>
  </si>
  <si>
    <t>U7432</t>
  </si>
  <si>
    <t>T469</t>
  </si>
  <si>
    <t>U7626</t>
  </si>
  <si>
    <t>T470</t>
  </si>
  <si>
    <t>U1368</t>
  </si>
  <si>
    <t>T471</t>
  </si>
  <si>
    <t>U7366</t>
  </si>
  <si>
    <t>T472</t>
  </si>
  <si>
    <t>U5220</t>
  </si>
  <si>
    <t>T473</t>
  </si>
  <si>
    <t>U9577</t>
  </si>
  <si>
    <t>T474</t>
  </si>
  <si>
    <t>U2889</t>
  </si>
  <si>
    <t>T475</t>
  </si>
  <si>
    <t>U6117</t>
  </si>
  <si>
    <t>T476</t>
  </si>
  <si>
    <t>U9760</t>
  </si>
  <si>
    <t>T477</t>
  </si>
  <si>
    <t>U5681</t>
  </si>
  <si>
    <t>T478</t>
  </si>
  <si>
    <t>U5591</t>
  </si>
  <si>
    <t>T479</t>
  </si>
  <si>
    <t>U6363</t>
  </si>
  <si>
    <t>T480</t>
  </si>
  <si>
    <t>U4629</t>
  </si>
  <si>
    <t>T481</t>
  </si>
  <si>
    <t>U3447</t>
  </si>
  <si>
    <t>T482</t>
  </si>
  <si>
    <t>U2016</t>
  </si>
  <si>
    <t>T483</t>
  </si>
  <si>
    <t>U4511</t>
  </si>
  <si>
    <t>T484</t>
  </si>
  <si>
    <t>U2010</t>
  </si>
  <si>
    <t>T485</t>
  </si>
  <si>
    <t>U5093</t>
  </si>
  <si>
    <t>T486</t>
  </si>
  <si>
    <t>U7483</t>
  </si>
  <si>
    <t>T487</t>
  </si>
  <si>
    <t>U9060</t>
  </si>
  <si>
    <t>T488</t>
  </si>
  <si>
    <t>U4406</t>
  </si>
  <si>
    <t>T489</t>
  </si>
  <si>
    <t>U8244</t>
  </si>
  <si>
    <t>T490</t>
  </si>
  <si>
    <t>U8966</t>
  </si>
  <si>
    <t>T491</t>
  </si>
  <si>
    <t>U6497</t>
  </si>
  <si>
    <t>T492</t>
  </si>
  <si>
    <t>U7340</t>
  </si>
  <si>
    <t>T493</t>
  </si>
  <si>
    <t>U5736</t>
  </si>
  <si>
    <t>T494</t>
  </si>
  <si>
    <t>U8883</t>
  </si>
  <si>
    <t>T495</t>
  </si>
  <si>
    <t>U1343</t>
  </si>
  <si>
    <t>T496</t>
  </si>
  <si>
    <t>U5782</t>
  </si>
  <si>
    <t>T497</t>
  </si>
  <si>
    <t>U9357</t>
  </si>
  <si>
    <t>T498</t>
  </si>
  <si>
    <t>U7525</t>
  </si>
  <si>
    <t>T499</t>
  </si>
  <si>
    <t>U7816</t>
  </si>
  <si>
    <t>T500</t>
  </si>
  <si>
    <t>U1226</t>
  </si>
  <si>
    <t>T501</t>
  </si>
  <si>
    <t>T502</t>
  </si>
  <si>
    <t>U5900</t>
  </si>
  <si>
    <t>T503</t>
  </si>
  <si>
    <t>U6963</t>
  </si>
  <si>
    <t>T504</t>
  </si>
  <si>
    <t>U7095</t>
  </si>
  <si>
    <t>T505</t>
  </si>
  <si>
    <t>U3789</t>
  </si>
  <si>
    <t>T506</t>
  </si>
  <si>
    <t>U2679</t>
  </si>
  <si>
    <t>T507</t>
  </si>
  <si>
    <t>U8746</t>
  </si>
  <si>
    <t>T508</t>
  </si>
  <si>
    <t>U2116</t>
  </si>
  <si>
    <t>T509</t>
  </si>
  <si>
    <t>U1917</t>
  </si>
  <si>
    <t>T510</t>
  </si>
  <si>
    <t>U9829</t>
  </si>
  <si>
    <t>T511</t>
  </si>
  <si>
    <t>U3842</t>
  </si>
  <si>
    <t>T512</t>
  </si>
  <si>
    <t>U5680</t>
  </si>
  <si>
    <t>T513</t>
  </si>
  <si>
    <t>U5783</t>
  </si>
  <si>
    <t>T514</t>
  </si>
  <si>
    <t>U2496</t>
  </si>
  <si>
    <t>T515</t>
  </si>
  <si>
    <t>U7162</t>
  </si>
  <si>
    <t>T516</t>
  </si>
  <si>
    <t>U8722</t>
  </si>
  <si>
    <t>T517</t>
  </si>
  <si>
    <t>U1718</t>
  </si>
  <si>
    <t>T522</t>
  </si>
  <si>
    <t>U3648</t>
  </si>
  <si>
    <t>T532</t>
  </si>
  <si>
    <t>U1162</t>
  </si>
  <si>
    <t>T653</t>
  </si>
  <si>
    <t>U9630</t>
  </si>
  <si>
    <t>T677</t>
  </si>
  <si>
    <t>U4582</t>
  </si>
  <si>
    <t>T679</t>
  </si>
  <si>
    <t>U7573</t>
  </si>
  <si>
    <t>T691</t>
  </si>
  <si>
    <t>U8515</t>
  </si>
  <si>
    <t>T704</t>
  </si>
  <si>
    <t>U4427</t>
  </si>
  <si>
    <t>T710</t>
  </si>
  <si>
    <t>U3661</t>
  </si>
  <si>
    <t>T711</t>
  </si>
  <si>
    <t>U9918</t>
  </si>
  <si>
    <t>T719</t>
  </si>
  <si>
    <t>U9408</t>
  </si>
  <si>
    <t>T720</t>
  </si>
  <si>
    <t>U8701</t>
  </si>
  <si>
    <t>T741</t>
  </si>
  <si>
    <t>U2006</t>
  </si>
  <si>
    <t>T762</t>
  </si>
  <si>
    <t>U8272</t>
  </si>
  <si>
    <t>T791</t>
  </si>
  <si>
    <t>U8951</t>
  </si>
  <si>
    <t>T806</t>
  </si>
  <si>
    <t>U9882</t>
  </si>
  <si>
    <t>T811</t>
  </si>
  <si>
    <t>U2525</t>
  </si>
  <si>
    <t>T831</t>
  </si>
  <si>
    <t>U4106</t>
  </si>
  <si>
    <t>T844</t>
  </si>
  <si>
    <t>U6398</t>
  </si>
  <si>
    <t>T848</t>
  </si>
  <si>
    <t>U1270</t>
  </si>
  <si>
    <t>T859</t>
  </si>
  <si>
    <t>U6418</t>
  </si>
  <si>
    <t>T877</t>
  </si>
  <si>
    <t>U1192</t>
  </si>
  <si>
    <t>T882</t>
  </si>
  <si>
    <t>U4392</t>
  </si>
  <si>
    <t>T935</t>
  </si>
  <si>
    <t>U9919</t>
  </si>
  <si>
    <t>T953</t>
  </si>
  <si>
    <t>U1838</t>
  </si>
  <si>
    <t>T964</t>
  </si>
  <si>
    <t>U7989</t>
  </si>
  <si>
    <t>T967</t>
  </si>
  <si>
    <t>U5396</t>
  </si>
  <si>
    <t>T974</t>
  </si>
  <si>
    <t>U3285</t>
  </si>
  <si>
    <t>T1015</t>
  </si>
  <si>
    <t>T1038</t>
  </si>
  <si>
    <t>U4754</t>
  </si>
  <si>
    <t>T1071</t>
  </si>
  <si>
    <t>U4816</t>
  </si>
  <si>
    <t>T1089</t>
  </si>
  <si>
    <t>U7181</t>
  </si>
  <si>
    <t>T1109</t>
  </si>
  <si>
    <t>U8815</t>
  </si>
  <si>
    <t>T1115</t>
  </si>
  <si>
    <t>U8541</t>
  </si>
  <si>
    <t>T1117</t>
  </si>
  <si>
    <t>U3314</t>
  </si>
  <si>
    <t>T1125</t>
  </si>
  <si>
    <t>U1159</t>
  </si>
  <si>
    <t>T1150</t>
  </si>
  <si>
    <t>U4858</t>
  </si>
  <si>
    <t>T1156</t>
  </si>
  <si>
    <t>U1667</t>
  </si>
  <si>
    <t>T1169</t>
  </si>
  <si>
    <t>U9413</t>
  </si>
  <si>
    <t>T1199</t>
  </si>
  <si>
    <t>U3879</t>
  </si>
  <si>
    <t>T1211</t>
  </si>
  <si>
    <t>U1418</t>
  </si>
  <si>
    <t>T1217</t>
  </si>
  <si>
    <t>T1253</t>
  </si>
  <si>
    <t>U2482</t>
  </si>
  <si>
    <t>T1273</t>
  </si>
  <si>
    <t>U6375</t>
  </si>
  <si>
    <t>T1292</t>
  </si>
  <si>
    <t>U4435</t>
  </si>
  <si>
    <t>T1300</t>
  </si>
  <si>
    <t>U5495</t>
  </si>
  <si>
    <t>T1321</t>
  </si>
  <si>
    <t>U9384</t>
  </si>
  <si>
    <t>T1326</t>
  </si>
  <si>
    <t>U2354</t>
  </si>
  <si>
    <t>T1341</t>
  </si>
  <si>
    <t>U1091</t>
  </si>
  <si>
    <t>T1391</t>
  </si>
  <si>
    <t>U7238</t>
  </si>
  <si>
    <t>T1420</t>
  </si>
  <si>
    <t>U3589</t>
  </si>
  <si>
    <t>T1438</t>
  </si>
  <si>
    <t>U7124</t>
  </si>
  <si>
    <t>T1444</t>
  </si>
  <si>
    <t>U2074</t>
  </si>
  <si>
    <t>T1447</t>
  </si>
  <si>
    <t>U2861</t>
  </si>
  <si>
    <t>T1449</t>
  </si>
  <si>
    <t>U5735</t>
  </si>
  <si>
    <t>T1453</t>
  </si>
  <si>
    <t>U4810</t>
  </si>
  <si>
    <t>T1464</t>
  </si>
  <si>
    <t>U7093</t>
  </si>
  <si>
    <t>T1470</t>
  </si>
  <si>
    <t>U7111</t>
  </si>
  <si>
    <t>T1507</t>
  </si>
  <si>
    <t>U5746</t>
  </si>
  <si>
    <t>T1518</t>
  </si>
  <si>
    <t>U5208</t>
  </si>
  <si>
    <t>T1520</t>
  </si>
  <si>
    <t>U9214</t>
  </si>
  <si>
    <t>T1523</t>
  </si>
  <si>
    <t>U9458</t>
  </si>
  <si>
    <t>T1546</t>
  </si>
  <si>
    <t>U3912</t>
  </si>
  <si>
    <t>T1548</t>
  </si>
  <si>
    <t>U8131</t>
  </si>
  <si>
    <t>T1549</t>
  </si>
  <si>
    <t>U3546</t>
  </si>
  <si>
    <t>T1562</t>
  </si>
  <si>
    <t>U2316</t>
  </si>
  <si>
    <t>T1565</t>
  </si>
  <si>
    <t>U6120</t>
  </si>
  <si>
    <t>T1576</t>
  </si>
  <si>
    <t>U7003</t>
  </si>
  <si>
    <t>T1591</t>
  </si>
  <si>
    <t>T1606</t>
  </si>
  <si>
    <t>U5670</t>
  </si>
  <si>
    <t>T1628</t>
  </si>
  <si>
    <t>U9448</t>
  </si>
  <si>
    <t>T1636</t>
  </si>
  <si>
    <t>U6771</t>
  </si>
  <si>
    <t>T1678</t>
  </si>
  <si>
    <t>U8872</t>
  </si>
  <si>
    <t>T1679</t>
  </si>
  <si>
    <t>U6356</t>
  </si>
  <si>
    <t>T1686</t>
  </si>
  <si>
    <t>U9185</t>
  </si>
  <si>
    <t>T1688</t>
  </si>
  <si>
    <t>U6030</t>
  </si>
  <si>
    <t>T1698</t>
  </si>
  <si>
    <t>U6235</t>
  </si>
  <si>
    <t>T1717</t>
  </si>
  <si>
    <t>U5461</t>
  </si>
  <si>
    <t>T1722</t>
  </si>
  <si>
    <t>T1731</t>
  </si>
  <si>
    <t>U2357</t>
  </si>
  <si>
    <t>T1732</t>
  </si>
  <si>
    <t>U6512</t>
  </si>
  <si>
    <t>T1748</t>
  </si>
  <si>
    <t>U7488</t>
  </si>
  <si>
    <t>T1754</t>
  </si>
  <si>
    <t>U8739</t>
  </si>
  <si>
    <t>T1761</t>
  </si>
  <si>
    <t>U6207</t>
  </si>
  <si>
    <t>T1768</t>
  </si>
  <si>
    <t>U3924</t>
  </si>
  <si>
    <t>T1779</t>
  </si>
  <si>
    <t>U8736</t>
  </si>
  <si>
    <t>T1783</t>
  </si>
  <si>
    <t>U5989</t>
  </si>
  <si>
    <t>T1785</t>
  </si>
  <si>
    <t>U6533</t>
  </si>
  <si>
    <t>T1786</t>
  </si>
  <si>
    <t>U1141</t>
  </si>
  <si>
    <t>T1788</t>
  </si>
  <si>
    <t>U7281</t>
  </si>
  <si>
    <t>T1818</t>
  </si>
  <si>
    <t>U2611</t>
  </si>
  <si>
    <t>T1828</t>
  </si>
  <si>
    <t>U9701</t>
  </si>
  <si>
    <t>T1831</t>
  </si>
  <si>
    <t>T1838</t>
  </si>
  <si>
    <t>U8065</t>
  </si>
  <si>
    <t>T1845</t>
  </si>
  <si>
    <t>U1585</t>
  </si>
  <si>
    <t>T1851</t>
  </si>
  <si>
    <t>U4230</t>
  </si>
  <si>
    <t>T1856</t>
  </si>
  <si>
    <t>U9356</t>
  </si>
  <si>
    <t>T1862</t>
  </si>
  <si>
    <t>U1243</t>
  </si>
  <si>
    <t>T1897</t>
  </si>
  <si>
    <t>U6960</t>
  </si>
  <si>
    <t>T1910</t>
  </si>
  <si>
    <t>T1914</t>
  </si>
  <si>
    <t>U8020</t>
  </si>
  <si>
    <t>T1915</t>
  </si>
  <si>
    <t>U1872</t>
  </si>
  <si>
    <t>T1938</t>
  </si>
  <si>
    <t>U8513</t>
  </si>
  <si>
    <t>T1939</t>
  </si>
  <si>
    <t>U7190</t>
  </si>
  <si>
    <t>T2004</t>
  </si>
  <si>
    <t>U3886</t>
  </si>
  <si>
    <t>T2008</t>
  </si>
  <si>
    <t>U1810</t>
  </si>
  <si>
    <t>T2016</t>
  </si>
  <si>
    <t>U1157</t>
  </si>
  <si>
    <t>T2021</t>
  </si>
  <si>
    <t>T2024</t>
  </si>
  <si>
    <t>U1695</t>
  </si>
  <si>
    <t>T2036</t>
  </si>
  <si>
    <t>U1816</t>
  </si>
  <si>
    <t>T2048</t>
  </si>
  <si>
    <t>U5367</t>
  </si>
  <si>
    <t>T2052</t>
  </si>
  <si>
    <t>U8193</t>
  </si>
  <si>
    <t>T2070</t>
  </si>
  <si>
    <t>U5739</t>
  </si>
  <si>
    <t>T2082</t>
  </si>
  <si>
    <t>U6516</t>
  </si>
  <si>
    <t>T2119</t>
  </si>
  <si>
    <t>U4917</t>
  </si>
  <si>
    <t>T2155</t>
  </si>
  <si>
    <t>U3338</t>
  </si>
  <si>
    <t>T2157</t>
  </si>
  <si>
    <t>U5597</t>
  </si>
  <si>
    <t>T2165</t>
  </si>
  <si>
    <t>U9756</t>
  </si>
  <si>
    <t>T2174</t>
  </si>
  <si>
    <t>U6942</t>
  </si>
  <si>
    <t>T2192</t>
  </si>
  <si>
    <t>U5139</t>
  </si>
  <si>
    <t>T2209</t>
  </si>
  <si>
    <t>T2214</t>
  </si>
  <si>
    <t>U9807</t>
  </si>
  <si>
    <t>T2267</t>
  </si>
  <si>
    <t>U3606</t>
  </si>
  <si>
    <t>T2304</t>
  </si>
  <si>
    <t>U1017</t>
  </si>
  <si>
    <t>T2310</t>
  </si>
  <si>
    <t>U3266</t>
  </si>
  <si>
    <t>T2346</t>
  </si>
  <si>
    <t>U3256</t>
  </si>
  <si>
    <t>T2370</t>
  </si>
  <si>
    <t>U5812</t>
  </si>
  <si>
    <t>T2419</t>
  </si>
  <si>
    <t>U1792</t>
  </si>
  <si>
    <t>T2447</t>
  </si>
  <si>
    <t>U4991</t>
  </si>
  <si>
    <t>T2451</t>
  </si>
  <si>
    <t>U6616</t>
  </si>
  <si>
    <t>T2458</t>
  </si>
  <si>
    <t>U3669</t>
  </si>
  <si>
    <t>T2521</t>
  </si>
  <si>
    <t>U3222</t>
  </si>
  <si>
    <t>T2523</t>
  </si>
  <si>
    <t>U4084</t>
  </si>
  <si>
    <t>T2530</t>
  </si>
  <si>
    <t>U1840</t>
  </si>
  <si>
    <t>T2551</t>
  </si>
  <si>
    <t>U7014</t>
  </si>
  <si>
    <t>T2577</t>
  </si>
  <si>
    <t>U5910</t>
  </si>
  <si>
    <t>T2593</t>
  </si>
  <si>
    <t>U1188</t>
  </si>
  <si>
    <t>T2602</t>
  </si>
  <si>
    <t>U5557</t>
  </si>
  <si>
    <t>T2650</t>
  </si>
  <si>
    <t>U7839</t>
  </si>
  <si>
    <t>T2656</t>
  </si>
  <si>
    <t>U7367</t>
  </si>
  <si>
    <t>T2665</t>
  </si>
  <si>
    <t>U2653</t>
  </si>
  <si>
    <t>T2677</t>
  </si>
  <si>
    <t>U5309</t>
  </si>
  <si>
    <t>T2685</t>
  </si>
  <si>
    <t>U2765</t>
  </si>
  <si>
    <t>T2692</t>
  </si>
  <si>
    <t>U5688</t>
  </si>
  <si>
    <t>T2733</t>
  </si>
  <si>
    <t>U7243</t>
  </si>
  <si>
    <t>T2755</t>
  </si>
  <si>
    <t>U5995</t>
  </si>
  <si>
    <t>T2770</t>
  </si>
  <si>
    <t>T2783</t>
  </si>
  <si>
    <t>U4565</t>
  </si>
  <si>
    <t>T2786</t>
  </si>
  <si>
    <t>U6546</t>
  </si>
  <si>
    <t>T2788</t>
  </si>
  <si>
    <t>U2003</t>
  </si>
  <si>
    <t>T2789</t>
  </si>
  <si>
    <t>U6885</t>
  </si>
  <si>
    <t>T2803</t>
  </si>
  <si>
    <t>U8908</t>
  </si>
  <si>
    <t>T2823</t>
  </si>
  <si>
    <t>U7114</t>
  </si>
  <si>
    <t>T2856</t>
  </si>
  <si>
    <t>U3993</t>
  </si>
  <si>
    <t>T2858</t>
  </si>
  <si>
    <t>U9436</t>
  </si>
  <si>
    <t>T2882</t>
  </si>
  <si>
    <t>T2913</t>
  </si>
  <si>
    <t>U9676</t>
  </si>
  <si>
    <t>T2931</t>
  </si>
  <si>
    <t>U3108</t>
  </si>
  <si>
    <t>T2946</t>
  </si>
  <si>
    <t>U2829</t>
  </si>
  <si>
    <t>T2989</t>
  </si>
  <si>
    <t>U1322</t>
  </si>
  <si>
    <t>T3011</t>
  </si>
  <si>
    <t>U4915</t>
  </si>
  <si>
    <t>T3029</t>
  </si>
  <si>
    <t>U7332</t>
  </si>
  <si>
    <t>T3041</t>
  </si>
  <si>
    <t>U7066</t>
  </si>
  <si>
    <t>T3042</t>
  </si>
  <si>
    <t>U4131</t>
  </si>
  <si>
    <t>T3062</t>
  </si>
  <si>
    <t>U6350</t>
  </si>
  <si>
    <t>T3070</t>
  </si>
  <si>
    <t>U6233</t>
  </si>
  <si>
    <t>T3079</t>
  </si>
  <si>
    <t>U7239</t>
  </si>
  <si>
    <t>T3084</t>
  </si>
  <si>
    <t>U3579</t>
  </si>
  <si>
    <t>T3087</t>
  </si>
  <si>
    <t>U5969</t>
  </si>
  <si>
    <t>T3094</t>
  </si>
  <si>
    <t>U3811</t>
  </si>
  <si>
    <t>T3101</t>
  </si>
  <si>
    <t>U5070</t>
  </si>
  <si>
    <t>T3144</t>
  </si>
  <si>
    <t>U5794</t>
  </si>
  <si>
    <t>T3151</t>
  </si>
  <si>
    <t>U4242</t>
  </si>
  <si>
    <t>T3153</t>
  </si>
  <si>
    <t>U2405</t>
  </si>
  <si>
    <t>T3207</t>
  </si>
  <si>
    <t>U3263</t>
  </si>
  <si>
    <t>T3231</t>
  </si>
  <si>
    <t>U2384</t>
  </si>
  <si>
    <t>T3236</t>
  </si>
  <si>
    <t>U2205</t>
  </si>
  <si>
    <t>T3249</t>
  </si>
  <si>
    <t>U9949</t>
  </si>
  <si>
    <t>T3255</t>
  </si>
  <si>
    <t>U5795</t>
  </si>
  <si>
    <t>T3313</t>
  </si>
  <si>
    <t>U2598</t>
  </si>
  <si>
    <t>T3317</t>
  </si>
  <si>
    <t>U7964</t>
  </si>
  <si>
    <t>T3326</t>
  </si>
  <si>
    <t>U7604</t>
  </si>
  <si>
    <t>T3334</t>
  </si>
  <si>
    <t>U5652</t>
  </si>
  <si>
    <t>T3361</t>
  </si>
  <si>
    <t>T3375</t>
  </si>
  <si>
    <t>U1009</t>
  </si>
  <si>
    <t>T3376</t>
  </si>
  <si>
    <t>U5869</t>
  </si>
  <si>
    <t>T3394</t>
  </si>
  <si>
    <t>U5757</t>
  </si>
  <si>
    <t>T3401</t>
  </si>
  <si>
    <t>U3024</t>
  </si>
  <si>
    <t>T3452</t>
  </si>
  <si>
    <t>U5134</t>
  </si>
  <si>
    <t>T3453</t>
  </si>
  <si>
    <t>U3290</t>
  </si>
  <si>
    <t>T3500</t>
  </si>
  <si>
    <t>U3598</t>
  </si>
  <si>
    <t>T3511</t>
  </si>
  <si>
    <t>U8984</t>
  </si>
  <si>
    <t>T3518</t>
  </si>
  <si>
    <t>U6849</t>
  </si>
  <si>
    <t>T3527</t>
  </si>
  <si>
    <t>U7733</t>
  </si>
  <si>
    <t>T3543</t>
  </si>
  <si>
    <t>U1206</t>
  </si>
  <si>
    <t>T3566</t>
  </si>
  <si>
    <t>U5153</t>
  </si>
  <si>
    <t>T3581</t>
  </si>
  <si>
    <t>U3859</t>
  </si>
  <si>
    <t>T3590</t>
  </si>
  <si>
    <t>U9274</t>
  </si>
  <si>
    <t>T3600</t>
  </si>
  <si>
    <t>U3633</t>
  </si>
  <si>
    <t>T3613</t>
  </si>
  <si>
    <t>U3806</t>
  </si>
  <si>
    <t>T3649</t>
  </si>
  <si>
    <t>U5578</t>
  </si>
  <si>
    <t>T3650</t>
  </si>
  <si>
    <t>U5885</t>
  </si>
  <si>
    <t>T3653</t>
  </si>
  <si>
    <t>U1219</t>
  </si>
  <si>
    <t>T3681</t>
  </si>
  <si>
    <t>T3694</t>
  </si>
  <si>
    <t>U7060</t>
  </si>
  <si>
    <t>T3695</t>
  </si>
  <si>
    <t>U9013</t>
  </si>
  <si>
    <t>T3702</t>
  </si>
  <si>
    <t>U9912</t>
  </si>
  <si>
    <t>T3707</t>
  </si>
  <si>
    <t>U6341</t>
  </si>
  <si>
    <t>T3713</t>
  </si>
  <si>
    <t>U1438</t>
  </si>
  <si>
    <t>T3729</t>
  </si>
  <si>
    <t>U5584</t>
  </si>
  <si>
    <t>T3746</t>
  </si>
  <si>
    <t>T3751</t>
  </si>
  <si>
    <t>U5163</t>
  </si>
  <si>
    <t>T3753</t>
  </si>
  <si>
    <t>U7155</t>
  </si>
  <si>
    <t>T3766</t>
  </si>
  <si>
    <t>T3799</t>
  </si>
  <si>
    <t>U7154</t>
  </si>
  <si>
    <t>T3811</t>
  </si>
  <si>
    <t>U1778</t>
  </si>
  <si>
    <t>T3827</t>
  </si>
  <si>
    <t>U9721</t>
  </si>
  <si>
    <t>T3844</t>
  </si>
  <si>
    <t>U3769</t>
  </si>
  <si>
    <t>T3883</t>
  </si>
  <si>
    <t>U2932</t>
  </si>
  <si>
    <t>T3905</t>
  </si>
  <si>
    <t>U6595</t>
  </si>
  <si>
    <t>T3912</t>
  </si>
  <si>
    <t>U4557</t>
  </si>
  <si>
    <t>T3916</t>
  </si>
  <si>
    <t>U4972</t>
  </si>
  <si>
    <t>T3943</t>
  </si>
  <si>
    <t>U6777</t>
  </si>
  <si>
    <t>T3946</t>
  </si>
  <si>
    <t>U8047</t>
  </si>
  <si>
    <t>T3947</t>
  </si>
  <si>
    <t>U9111</t>
  </si>
  <si>
    <t>T3992</t>
  </si>
  <si>
    <t>U2786</t>
  </si>
  <si>
    <t>T4003</t>
  </si>
  <si>
    <t>U4413</t>
  </si>
  <si>
    <t>T4034</t>
  </si>
  <si>
    <t>U3037</t>
  </si>
  <si>
    <t>T4045</t>
  </si>
  <si>
    <t>U1363</t>
  </si>
  <si>
    <t>T4056</t>
  </si>
  <si>
    <t>U5290</t>
  </si>
  <si>
    <t>T4069</t>
  </si>
  <si>
    <t>U8848</t>
  </si>
  <si>
    <t>T4135</t>
  </si>
  <si>
    <t>U1297</t>
  </si>
  <si>
    <t>T4147</t>
  </si>
  <si>
    <t>U9502</t>
  </si>
  <si>
    <t>T4150</t>
  </si>
  <si>
    <t>U6003</t>
  </si>
  <si>
    <t>T4185</t>
  </si>
  <si>
    <t>U3999</t>
  </si>
  <si>
    <t>T4195</t>
  </si>
  <si>
    <t>U5951</t>
  </si>
  <si>
    <t>T4209</t>
  </si>
  <si>
    <t>U4252</t>
  </si>
  <si>
    <t>T4233</t>
  </si>
  <si>
    <t>U9402</t>
  </si>
  <si>
    <t>T4253</t>
  </si>
  <si>
    <t>U8918</t>
  </si>
  <si>
    <t>T4282</t>
  </si>
  <si>
    <t>U3462</t>
  </si>
  <si>
    <t>T4285</t>
  </si>
  <si>
    <t>T4287</t>
  </si>
  <si>
    <t>U5082</t>
  </si>
  <si>
    <t>T4292</t>
  </si>
  <si>
    <t>U8652</t>
  </si>
  <si>
    <t>T4294</t>
  </si>
  <si>
    <t>U5268</t>
  </si>
  <si>
    <t>T4301</t>
  </si>
  <si>
    <t>U8060</t>
  </si>
  <si>
    <t>T4306</t>
  </si>
  <si>
    <t>U6066</t>
  </si>
  <si>
    <t>T4309</t>
  </si>
  <si>
    <t>U5040</t>
  </si>
  <si>
    <t>T4310</t>
  </si>
  <si>
    <t>U4849</t>
  </si>
  <si>
    <t>T4337</t>
  </si>
  <si>
    <t>U2739</t>
  </si>
  <si>
    <t>T4348</t>
  </si>
  <si>
    <t>U2283</t>
  </si>
  <si>
    <t>T4357</t>
  </si>
  <si>
    <t>U5647</t>
  </si>
  <si>
    <t>T4360</t>
  </si>
  <si>
    <t>U9509</t>
  </si>
  <si>
    <t>T4364</t>
  </si>
  <si>
    <t>U9110</t>
  </si>
  <si>
    <t>T4366</t>
  </si>
  <si>
    <t>U4285</t>
  </si>
  <si>
    <t>T4406</t>
  </si>
  <si>
    <t>U2541</t>
  </si>
  <si>
    <t>T4411</t>
  </si>
  <si>
    <t>U5766</t>
  </si>
  <si>
    <t>T4414</t>
  </si>
  <si>
    <t>U8401</t>
  </si>
  <si>
    <t>T4419</t>
  </si>
  <si>
    <t>U2233</t>
  </si>
  <si>
    <t>T4427</t>
  </si>
  <si>
    <t>U1324</t>
  </si>
  <si>
    <t>T4444</t>
  </si>
  <si>
    <t>U2572</t>
  </si>
  <si>
    <t>T4448</t>
  </si>
  <si>
    <t>U4666</t>
  </si>
  <si>
    <t>T4469</t>
  </si>
  <si>
    <t>U3775</t>
  </si>
  <si>
    <t>T4488</t>
  </si>
  <si>
    <t>U9591</t>
  </si>
  <si>
    <t>T4501</t>
  </si>
  <si>
    <t>U4454</t>
  </si>
  <si>
    <t>T4524</t>
  </si>
  <si>
    <t>U3714</t>
  </si>
  <si>
    <t>T4540</t>
  </si>
  <si>
    <t>U3440</t>
  </si>
  <si>
    <t>T4544</t>
  </si>
  <si>
    <t>U6855</t>
  </si>
  <si>
    <t>T4558</t>
  </si>
  <si>
    <t>U1801</t>
  </si>
  <si>
    <t>T4559</t>
  </si>
  <si>
    <t>U9228</t>
  </si>
  <si>
    <t>T4576</t>
  </si>
  <si>
    <t>T4584</t>
  </si>
  <si>
    <t>U4757</t>
  </si>
  <si>
    <t>T4589</t>
  </si>
  <si>
    <t>U1234</t>
  </si>
  <si>
    <t>T4646</t>
  </si>
  <si>
    <t>U1073</t>
  </si>
  <si>
    <t>T4667</t>
  </si>
  <si>
    <t>U9403</t>
  </si>
  <si>
    <t>T4684</t>
  </si>
  <si>
    <t>U7853</t>
  </si>
  <si>
    <t>T4704</t>
  </si>
  <si>
    <t>T4722</t>
  </si>
  <si>
    <t>U1095</t>
  </si>
  <si>
    <t>T4746</t>
  </si>
  <si>
    <t>U8806</t>
  </si>
  <si>
    <t>T4748</t>
  </si>
  <si>
    <t>U1758</t>
  </si>
  <si>
    <t>T4759</t>
  </si>
  <si>
    <t>U5520</t>
  </si>
  <si>
    <t>T4768</t>
  </si>
  <si>
    <t>T4833</t>
  </si>
  <si>
    <t>U8774</t>
  </si>
  <si>
    <t>T4834</t>
  </si>
  <si>
    <t>T4848</t>
  </si>
  <si>
    <t>U9095</t>
  </si>
  <si>
    <t>T4857</t>
  </si>
  <si>
    <t>U6857</t>
  </si>
  <si>
    <t>T4879</t>
  </si>
  <si>
    <t>U6408</t>
  </si>
  <si>
    <t>T4880</t>
  </si>
  <si>
    <t>U3004</t>
  </si>
  <si>
    <t>T4892</t>
  </si>
  <si>
    <t>U9835</t>
  </si>
  <si>
    <t>T4902</t>
  </si>
  <si>
    <t>U5232</t>
  </si>
  <si>
    <t>T4940</t>
  </si>
  <si>
    <t>U1669</t>
  </si>
  <si>
    <t>T4946</t>
  </si>
  <si>
    <t>U3702</t>
  </si>
  <si>
    <t>T4970</t>
  </si>
  <si>
    <t>U9068</t>
  </si>
  <si>
    <t>T4990</t>
  </si>
  <si>
    <t>U6274</t>
  </si>
  <si>
    <t>T4997</t>
  </si>
  <si>
    <t>U1672</t>
  </si>
  <si>
    <t>T5013</t>
  </si>
  <si>
    <t>U9037</t>
  </si>
  <si>
    <t>T5017</t>
  </si>
  <si>
    <t>U6212</t>
  </si>
  <si>
    <t>T5045</t>
  </si>
  <si>
    <t>U7201</t>
  </si>
  <si>
    <t>T5048</t>
  </si>
  <si>
    <t>U7927</t>
  </si>
  <si>
    <t>T5059</t>
  </si>
  <si>
    <t>U8135</t>
  </si>
  <si>
    <t>T5076</t>
  </si>
  <si>
    <t>U9775</t>
  </si>
  <si>
    <t>T5079</t>
  </si>
  <si>
    <t>U2471</t>
  </si>
  <si>
    <t>T5091</t>
  </si>
  <si>
    <t>U8616</t>
  </si>
  <si>
    <t>T5116</t>
  </si>
  <si>
    <t>U4839</t>
  </si>
  <si>
    <t>T5123</t>
  </si>
  <si>
    <t>U1918</t>
  </si>
  <si>
    <t>T5136</t>
  </si>
  <si>
    <t>U5201</t>
  </si>
  <si>
    <t>T5154</t>
  </si>
  <si>
    <t>U6701</t>
  </si>
  <si>
    <t>T5166</t>
  </si>
  <si>
    <t>U6227</t>
  </si>
  <si>
    <t>T5174</t>
  </si>
  <si>
    <t>U1211</t>
  </si>
  <si>
    <t>T5178</t>
  </si>
  <si>
    <t>U6605</t>
  </si>
  <si>
    <t>T5188</t>
  </si>
  <si>
    <t>U3341</t>
  </si>
  <si>
    <t>T5272</t>
  </si>
  <si>
    <t>U3902</t>
  </si>
  <si>
    <t>T5275</t>
  </si>
  <si>
    <t>U3868</t>
  </si>
  <si>
    <t>T5276</t>
  </si>
  <si>
    <t>U2435</t>
  </si>
  <si>
    <t>T5294</t>
  </si>
  <si>
    <t>U4486</t>
  </si>
  <si>
    <t>T5318</t>
  </si>
  <si>
    <t>U8203</t>
  </si>
  <si>
    <t>T5322</t>
  </si>
  <si>
    <t>U9290</t>
  </si>
  <si>
    <t>T5328</t>
  </si>
  <si>
    <t>U9307</t>
  </si>
  <si>
    <t>T5374</t>
  </si>
  <si>
    <t>U5099</t>
  </si>
  <si>
    <t>T5392</t>
  </si>
  <si>
    <t>U5818</t>
  </si>
  <si>
    <t>T5404</t>
  </si>
  <si>
    <t>U1338</t>
  </si>
  <si>
    <t>T5436</t>
  </si>
  <si>
    <t>U3914</t>
  </si>
  <si>
    <t>T5438</t>
  </si>
  <si>
    <t>U7725</t>
  </si>
  <si>
    <t>T5458</t>
  </si>
  <si>
    <t>U4865</t>
  </si>
  <si>
    <t>T5462</t>
  </si>
  <si>
    <t>U3570</t>
  </si>
  <si>
    <t>T5464</t>
  </si>
  <si>
    <t>U9229</t>
  </si>
  <si>
    <t>T5499</t>
  </si>
  <si>
    <t>U5546</t>
  </si>
  <si>
    <t>T5502</t>
  </si>
  <si>
    <t>U7972</t>
  </si>
  <si>
    <t>T5504</t>
  </si>
  <si>
    <t>U6629</t>
  </si>
  <si>
    <t>T5544</t>
  </si>
  <si>
    <t>U6542</t>
  </si>
  <si>
    <t>T5573</t>
  </si>
  <si>
    <t>U8536</t>
  </si>
  <si>
    <t>T5582</t>
  </si>
  <si>
    <t>U9568</t>
  </si>
  <si>
    <t>T5607</t>
  </si>
  <si>
    <t>U9614</t>
  </si>
  <si>
    <t>T5609</t>
  </si>
  <si>
    <t>U8019</t>
  </si>
  <si>
    <t>T5620</t>
  </si>
  <si>
    <t>U6288</t>
  </si>
  <si>
    <t>T5625</t>
  </si>
  <si>
    <t>U1132</t>
  </si>
  <si>
    <t>T5638</t>
  </si>
  <si>
    <t>U7949</t>
  </si>
  <si>
    <t>T5655</t>
  </si>
  <si>
    <t>U7531</t>
  </si>
  <si>
    <t>T5661</t>
  </si>
  <si>
    <t>U8254</t>
  </si>
  <si>
    <t>T5671</t>
  </si>
  <si>
    <t>U5846</t>
  </si>
  <si>
    <t>T5689</t>
  </si>
  <si>
    <t>U8342</t>
  </si>
  <si>
    <t>T5765</t>
  </si>
  <si>
    <t>U2580</t>
  </si>
  <si>
    <t>T5769</t>
  </si>
  <si>
    <t>U2761</t>
  </si>
  <si>
    <t>T5818</t>
  </si>
  <si>
    <t>U1588</t>
  </si>
  <si>
    <t>T5820</t>
  </si>
  <si>
    <t>U4493</t>
  </si>
  <si>
    <t>T5903</t>
  </si>
  <si>
    <t>U7336</t>
  </si>
  <si>
    <t>T5918</t>
  </si>
  <si>
    <t>U6004</t>
  </si>
  <si>
    <t>T5919</t>
  </si>
  <si>
    <t>U3438</t>
  </si>
  <si>
    <t>T5939</t>
  </si>
  <si>
    <t>U8840</t>
  </si>
  <si>
    <t>T5954</t>
  </si>
  <si>
    <t>U9997</t>
  </si>
  <si>
    <t>T5960</t>
  </si>
  <si>
    <t>U7636</t>
  </si>
  <si>
    <t>T5983</t>
  </si>
  <si>
    <t>U1475</t>
  </si>
  <si>
    <t>T5992</t>
  </si>
  <si>
    <t>U6349</t>
  </si>
  <si>
    <t>T6024</t>
  </si>
  <si>
    <t>U7437</t>
  </si>
  <si>
    <t>T6051</t>
  </si>
  <si>
    <t>U8219</t>
  </si>
  <si>
    <t>T6062</t>
  </si>
  <si>
    <t>T6089</t>
  </si>
  <si>
    <t>U2135</t>
  </si>
  <si>
    <t>T6094</t>
  </si>
  <si>
    <t>U5408</t>
  </si>
  <si>
    <t>T6115</t>
  </si>
  <si>
    <t>U1653</t>
  </si>
  <si>
    <t>T6122</t>
  </si>
  <si>
    <t>U8277</t>
  </si>
  <si>
    <t>T6123</t>
  </si>
  <si>
    <t>U4460</t>
  </si>
  <si>
    <t>T6129</t>
  </si>
  <si>
    <t>U2704</t>
  </si>
  <si>
    <t>T6131</t>
  </si>
  <si>
    <t>U7097</t>
  </si>
  <si>
    <t>T6144</t>
  </si>
  <si>
    <t>U2789</t>
  </si>
  <si>
    <t>T6147</t>
  </si>
  <si>
    <t>U3689</t>
  </si>
  <si>
    <t>T6151</t>
  </si>
  <si>
    <t>U8037</t>
  </si>
  <si>
    <t>T6156</t>
  </si>
  <si>
    <t>U3128</t>
  </si>
  <si>
    <t>T6214</t>
  </si>
  <si>
    <t>U8519</t>
  </si>
  <si>
    <t>T6215</t>
  </si>
  <si>
    <t>U6048</t>
  </si>
  <si>
    <t>T6231</t>
  </si>
  <si>
    <t>U3747</t>
  </si>
  <si>
    <t>T6234</t>
  </si>
  <si>
    <t>U5294</t>
  </si>
  <si>
    <t>T6249</t>
  </si>
  <si>
    <t>T6265</t>
  </si>
  <si>
    <t>U9349</t>
  </si>
  <si>
    <t>T6274</t>
  </si>
  <si>
    <t>U5821</t>
  </si>
  <si>
    <t>T6317</t>
  </si>
  <si>
    <t>U4052</t>
  </si>
  <si>
    <t>T6339</t>
  </si>
  <si>
    <t>T6349</t>
  </si>
  <si>
    <t>U2953</t>
  </si>
  <si>
    <t>T6368</t>
  </si>
  <si>
    <t>U1972</t>
  </si>
  <si>
    <t>T6393</t>
  </si>
  <si>
    <t>U3191</t>
  </si>
  <si>
    <t>T6414</t>
  </si>
  <si>
    <t>U4821</t>
  </si>
  <si>
    <t>T6427</t>
  </si>
  <si>
    <t>U8896</t>
  </si>
  <si>
    <t>T6433</t>
  </si>
  <si>
    <t>U1248</t>
  </si>
  <si>
    <t>T6466</t>
  </si>
  <si>
    <t>U3045</t>
  </si>
  <si>
    <t>T6469</t>
  </si>
  <si>
    <t>U9831</t>
  </si>
  <si>
    <t>T6483</t>
  </si>
  <si>
    <t>U6389</t>
  </si>
  <si>
    <t>T6516</t>
  </si>
  <si>
    <t>U7232</t>
  </si>
  <si>
    <t>T6522</t>
  </si>
  <si>
    <t>U6123</t>
  </si>
  <si>
    <t>T6534</t>
  </si>
  <si>
    <t>U1576</t>
  </si>
  <si>
    <t>T6538</t>
  </si>
  <si>
    <t>U8467</t>
  </si>
  <si>
    <t>T6556</t>
  </si>
  <si>
    <t>U6648</t>
  </si>
  <si>
    <t>T6560</t>
  </si>
  <si>
    <t>U6607</t>
  </si>
  <si>
    <t>T6561</t>
  </si>
  <si>
    <t>U9936</t>
  </si>
  <si>
    <t>T6563</t>
  </si>
  <si>
    <t>U9422</t>
  </si>
  <si>
    <t>T6585</t>
  </si>
  <si>
    <t>U5827</t>
  </si>
  <si>
    <t>T6586</t>
  </si>
  <si>
    <t>U6247</t>
  </si>
  <si>
    <t>T6624</t>
  </si>
  <si>
    <t>U1036</t>
  </si>
  <si>
    <t>T6645</t>
  </si>
  <si>
    <t>U8582</t>
  </si>
  <si>
    <t>T6661</t>
  </si>
  <si>
    <t>U3794</t>
  </si>
  <si>
    <t>T6674</t>
  </si>
  <si>
    <t>U6047</t>
  </si>
  <si>
    <t>T6693</t>
  </si>
  <si>
    <t>U6279</t>
  </si>
  <si>
    <t>T6725</t>
  </si>
  <si>
    <t>U5682</t>
  </si>
  <si>
    <t>T6730</t>
  </si>
  <si>
    <t>U6800</t>
  </si>
  <si>
    <t>T6751</t>
  </si>
  <si>
    <t>T6771</t>
  </si>
  <si>
    <t>U9249</t>
  </si>
  <si>
    <t>T6777</t>
  </si>
  <si>
    <t>U2334</t>
  </si>
  <si>
    <t>T6782</t>
  </si>
  <si>
    <t>U7109</t>
  </si>
  <si>
    <t>T6787</t>
  </si>
  <si>
    <t>U7720</t>
  </si>
  <si>
    <t>T6808</t>
  </si>
  <si>
    <t>U1902</t>
  </si>
  <si>
    <t>T6834</t>
  </si>
  <si>
    <t>U7539</t>
  </si>
  <si>
    <t>T6870</t>
  </si>
  <si>
    <t>U3956</t>
  </si>
  <si>
    <t>T6872</t>
  </si>
  <si>
    <t>T6875</t>
  </si>
  <si>
    <t>U5999</t>
  </si>
  <si>
    <t>T6887</t>
  </si>
  <si>
    <t>U7170</t>
  </si>
  <si>
    <t>T6911</t>
  </si>
  <si>
    <t>U9663</t>
  </si>
  <si>
    <t>T6914</t>
  </si>
  <si>
    <t>U8556</t>
  </si>
  <si>
    <t>T6928</t>
  </si>
  <si>
    <t>U4331</t>
  </si>
  <si>
    <t>T6948</t>
  </si>
  <si>
    <t>U9124</t>
  </si>
  <si>
    <t>T6963</t>
  </si>
  <si>
    <t>U2703</t>
  </si>
  <si>
    <t>T6969</t>
  </si>
  <si>
    <t>U7774</t>
  </si>
  <si>
    <t>T6978</t>
  </si>
  <si>
    <t>U5291</t>
  </si>
  <si>
    <t>T6988</t>
  </si>
  <si>
    <t>U3449</t>
  </si>
  <si>
    <t>T7024</t>
  </si>
  <si>
    <t>U6597</t>
  </si>
  <si>
    <t>T7030</t>
  </si>
  <si>
    <t>U6485</t>
  </si>
  <si>
    <t>T7035</t>
  </si>
  <si>
    <t>U2675</t>
  </si>
  <si>
    <t>T7047</t>
  </si>
  <si>
    <t>U9003</t>
  </si>
  <si>
    <t>T7074</t>
  </si>
  <si>
    <t>U4487</t>
  </si>
  <si>
    <t>T7092</t>
  </si>
  <si>
    <t>U9045</t>
  </si>
  <si>
    <t>T7094</t>
  </si>
  <si>
    <t>U5825</t>
  </si>
  <si>
    <t>T7110</t>
  </si>
  <si>
    <t>U3017</t>
  </si>
  <si>
    <t>T7117</t>
  </si>
  <si>
    <t>U6081</t>
  </si>
  <si>
    <t>T7144</t>
  </si>
  <si>
    <t>U2948</t>
  </si>
  <si>
    <t>T7150</t>
  </si>
  <si>
    <t>U5023</t>
  </si>
  <si>
    <t>T7166</t>
  </si>
  <si>
    <t>T7169</t>
  </si>
  <si>
    <t>U3289</t>
  </si>
  <si>
    <t>T7185</t>
  </si>
  <si>
    <t>U6265</t>
  </si>
  <si>
    <t>T7188</t>
  </si>
  <si>
    <t>U5713</t>
  </si>
  <si>
    <t>T7194</t>
  </si>
  <si>
    <t>U2919</t>
  </si>
  <si>
    <t>T7231</t>
  </si>
  <si>
    <t>U6254</t>
  </si>
  <si>
    <t>T7252</t>
  </si>
  <si>
    <t>U8553</t>
  </si>
  <si>
    <t>T7270</t>
  </si>
  <si>
    <t>U4113</t>
  </si>
  <si>
    <t>T7301</t>
  </si>
  <si>
    <t>U4226</t>
  </si>
  <si>
    <t>T7303</t>
  </si>
  <si>
    <t>U6650</t>
  </si>
  <si>
    <t>T7316</t>
  </si>
  <si>
    <t>U5414</t>
  </si>
  <si>
    <t>T7317</t>
  </si>
  <si>
    <t>U4827</t>
  </si>
  <si>
    <t>T7352</t>
  </si>
  <si>
    <t>U8927</t>
  </si>
  <si>
    <t>T7353</t>
  </si>
  <si>
    <t>U6579</t>
  </si>
  <si>
    <t>T7364</t>
  </si>
  <si>
    <t>U6223</t>
  </si>
  <si>
    <t>T7375</t>
  </si>
  <si>
    <t>T7382</t>
  </si>
  <si>
    <t>U4006</t>
  </si>
  <si>
    <t>T7394</t>
  </si>
  <si>
    <t>U6706</t>
  </si>
  <si>
    <t>T7415</t>
  </si>
  <si>
    <t>U7783</t>
  </si>
  <si>
    <t>T7422</t>
  </si>
  <si>
    <t>T7448</t>
  </si>
  <si>
    <t>U4970</t>
  </si>
  <si>
    <t>T7450</t>
  </si>
  <si>
    <t>U5699</t>
  </si>
  <si>
    <t>T7458</t>
  </si>
  <si>
    <t>U1625</t>
  </si>
  <si>
    <t>Row Labels</t>
  </si>
  <si>
    <t>Grand Total</t>
  </si>
  <si>
    <t>Count of fraud_label</t>
  </si>
  <si>
    <t>1</t>
  </si>
  <si>
    <t>Count of transaction_id</t>
  </si>
  <si>
    <t>Sum of transaction_amount</t>
  </si>
  <si>
    <t>Sum of is_international</t>
  </si>
  <si>
    <t>KPI</t>
  </si>
  <si>
    <t xml:space="preserve">Total Fraud </t>
  </si>
  <si>
    <t>Total Fraud Amount</t>
  </si>
  <si>
    <t>Fraud Percentage (%)</t>
  </si>
  <si>
    <t>Average Transaction Amount (Normal vs Fraudulent )</t>
  </si>
  <si>
    <t>Average of avg_transaction_amount</t>
  </si>
  <si>
    <t>Average of transaction_amount2</t>
  </si>
  <si>
    <t>Values To Display</t>
  </si>
  <si>
    <t>Average Transaction Amount (Normal)</t>
  </si>
  <si>
    <t>Average Transaction Amount (Fraudulent)</t>
  </si>
  <si>
    <t>Introduction</t>
  </si>
  <si>
    <t>Digital payment fraud is unauthorized or illegal transactions done through online payment systems.</t>
  </si>
  <si>
    <r>
      <t xml:space="preserve">Good Morning Everyone My name is sahil an am introducing my project to you which is topic is </t>
    </r>
    <r>
      <rPr>
        <b/>
        <sz val="11"/>
        <color theme="1"/>
        <rFont val="Aptos Narrow"/>
        <family val="2"/>
        <scheme val="minor"/>
      </rPr>
      <t>Digital Payment Fraud Detatction</t>
    </r>
    <r>
      <rPr>
        <sz val="11"/>
        <color theme="1"/>
        <rFont val="Aptos Narrow"/>
        <family val="2"/>
        <scheme val="minor"/>
      </rPr>
      <t>…...digital payments are very commanly done with the help of mobile apps, internet banking, and online shopping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</si>
</sst>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2"/>
      <color theme="1"/>
      <name val="Calibri"/>
      <family val="2"/>
    </font>
    <font>
      <sz val="10"/>
      <color theme="1"/>
      <name val="Calibri"/>
      <family val="2"/>
    </font>
    <font>
      <sz val="12"/>
      <color theme="1"/>
      <name val="Calibri"/>
      <family val="2"/>
    </font>
    <font>
      <sz val="10"/>
      <color rgb="FF0A0A0A"/>
      <name val="Arial"/>
      <family val="2"/>
    </font>
    <font>
      <sz val="11"/>
      <name val="Aptos Narrow"/>
      <family val="2"/>
      <scheme val="minor"/>
    </font>
    <font>
      <sz val="10"/>
      <color rgb="FF0A0A0A"/>
      <name val="Calibri"/>
      <family val="2"/>
    </font>
    <font>
      <sz val="12"/>
      <color theme="1"/>
      <name val="Calibri"/>
    </font>
    <font>
      <b/>
      <sz val="11"/>
      <color theme="1"/>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9" tint="0.39997558519241921"/>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8">
    <xf numFmtId="0" fontId="0" fillId="0" borderId="0" xfId="0"/>
    <xf numFmtId="0" fontId="2" fillId="0" borderId="1" xfId="0" applyFont="1" applyBorder="1" applyAlignment="1">
      <alignment horizontal="center" vertical="center"/>
    </xf>
    <xf numFmtId="4" fontId="2" fillId="0" borderId="1" xfId="0" applyNumberFormat="1" applyFont="1" applyBorder="1" applyAlignment="1">
      <alignment horizontal="center" vertical="center"/>
    </xf>
    <xf numFmtId="49" fontId="2" fillId="0" borderId="1" xfId="0" quotePrefix="1" applyNumberFormat="1" applyFont="1" applyBorder="1" applyAlignment="1">
      <alignment horizontal="center" vertical="center"/>
    </xf>
    <xf numFmtId="49" fontId="2" fillId="0" borderId="1" xfId="0" applyNumberFormat="1" applyFont="1" applyBorder="1" applyAlignment="1">
      <alignment horizontal="center" vertical="center"/>
    </xf>
    <xf numFmtId="0" fontId="2" fillId="0" borderId="0" xfId="0" applyFont="1" applyAlignment="1">
      <alignment horizontal="center"/>
    </xf>
    <xf numFmtId="0" fontId="3" fillId="0" borderId="0" xfId="0" applyFont="1" applyAlignment="1">
      <alignment horizontal="center"/>
    </xf>
    <xf numFmtId="0" fontId="0" fillId="0" borderId="0" xfId="0" applyAlignment="1">
      <alignment horizontal="center"/>
    </xf>
    <xf numFmtId="0" fontId="4" fillId="0" borderId="0" xfId="0" applyFont="1" applyAlignment="1">
      <alignment horizontal="center"/>
    </xf>
    <xf numFmtId="0" fontId="5" fillId="3" borderId="0" xfId="0" applyFont="1" applyFill="1"/>
    <xf numFmtId="0" fontId="4" fillId="0" borderId="0" xfId="0" applyFont="1"/>
    <xf numFmtId="10" fontId="0" fillId="0" borderId="0" xfId="0" applyNumberFormat="1" applyAlignment="1">
      <alignment horizontal="center"/>
    </xf>
    <xf numFmtId="4" fontId="0" fillId="0" borderId="0" xfId="0" applyNumberFormat="1" applyAlignment="1">
      <alignment horizontal="center"/>
    </xf>
    <xf numFmtId="0" fontId="0" fillId="0" borderId="0" xfId="0" applyAlignment="1">
      <alignment horizontal="center" vertical="center" wrapText="1"/>
    </xf>
    <xf numFmtId="0" fontId="3" fillId="0" borderId="0" xfId="0" applyFont="1" applyAlignment="1">
      <alignment horizontal="center" vertical="center" wrapText="1"/>
    </xf>
    <xf numFmtId="0" fontId="0" fillId="0" borderId="0" xfId="0" applyAlignment="1">
      <alignment vertical="center" wrapText="1"/>
    </xf>
    <xf numFmtId="0" fontId="7" fillId="0" borderId="0" xfId="0" pivotButton="1" applyFont="1" applyAlignment="1">
      <alignment horizontal="center"/>
    </xf>
    <xf numFmtId="0" fontId="7" fillId="0" borderId="0" xfId="0" applyFont="1" applyAlignment="1">
      <alignment horizontal="center"/>
    </xf>
    <xf numFmtId="49" fontId="7" fillId="0" borderId="0" xfId="0" applyNumberFormat="1" applyFont="1" applyAlignment="1">
      <alignment horizontal="center"/>
    </xf>
    <xf numFmtId="0" fontId="0" fillId="0" borderId="0" xfId="0" pivotButton="1" applyAlignment="1">
      <alignment horizontal="center"/>
    </xf>
    <xf numFmtId="0" fontId="0" fillId="0" borderId="0" xfId="0" pivotButton="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xf numFmtId="0" fontId="0" fillId="0" borderId="0" xfId="0" applyAlignment="1">
      <alignment vertical="center"/>
    </xf>
    <xf numFmtId="0" fontId="2" fillId="0" borderId="1" xfId="0" applyFont="1" applyBorder="1" applyAlignment="1">
      <alignment horizontal="center"/>
    </xf>
    <xf numFmtId="0" fontId="7" fillId="0" borderId="0" xfId="0" applyFont="1" applyAlignment="1">
      <alignment horizontal="center" vertical="center"/>
    </xf>
    <xf numFmtId="4" fontId="0" fillId="0" borderId="0" xfId="0" applyNumberFormat="1" applyAlignment="1">
      <alignment horizontal="center" vertical="center"/>
    </xf>
    <xf numFmtId="0" fontId="6" fillId="0" borderId="1" xfId="0" applyFont="1" applyBorder="1" applyAlignment="1">
      <alignment horizontal="center" vertical="center"/>
    </xf>
    <xf numFmtId="0" fontId="2" fillId="0" borderId="0" xfId="0" applyFont="1" applyAlignment="1">
      <alignment horizontal="center" vertical="center"/>
    </xf>
    <xf numFmtId="0" fontId="1" fillId="2" borderId="1" xfId="0" applyFont="1" applyFill="1" applyBorder="1" applyAlignment="1">
      <alignment horizontal="center" vertical="center"/>
    </xf>
    <xf numFmtId="49" fontId="1" fillId="2" borderId="1" xfId="0" applyNumberFormat="1" applyFont="1" applyFill="1" applyBorder="1" applyAlignment="1">
      <alignment horizontal="center" vertical="center"/>
    </xf>
    <xf numFmtId="0" fontId="8" fillId="0" borderId="0" xfId="0" applyFont="1"/>
    <xf numFmtId="0" fontId="0" fillId="0" borderId="0" xfId="0" applyAlignment="1">
      <alignment wrapText="1"/>
    </xf>
    <xf numFmtId="0" fontId="2" fillId="4" borderId="1" xfId="0" applyFont="1" applyFill="1" applyBorder="1" applyAlignment="1">
      <alignment horizontal="center"/>
    </xf>
    <xf numFmtId="0" fontId="7" fillId="0" borderId="0" xfId="0" applyNumberFormat="1" applyFont="1" applyAlignment="1">
      <alignment horizontal="center"/>
    </xf>
    <xf numFmtId="0" fontId="7" fillId="0" borderId="0" xfId="0" applyNumberFormat="1" applyFont="1" applyAlignment="1">
      <alignment horizontal="center" vertical="center"/>
    </xf>
    <xf numFmtId="0" fontId="0" fillId="0" borderId="0" xfId="0" applyNumberFormat="1" applyAlignment="1">
      <alignment horizontal="center"/>
    </xf>
    <xf numFmtId="0" fontId="0" fillId="0" borderId="0" xfId="0" applyNumberFormat="1" applyAlignment="1">
      <alignment horizontal="center" vertical="center"/>
    </xf>
  </cellXfs>
  <cellStyles count="1">
    <cellStyle name="Normal" xfId="0" builtinId="0"/>
  </cellStyles>
  <dxfs count="2096">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0"/>
    </dxf>
    <dxf>
      <alignment wrapTex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font>
        <b val="0"/>
      </font>
    </dxf>
    <dxf>
      <font>
        <b val="0"/>
      </font>
    </dxf>
    <dxf>
      <font>
        <b val="0"/>
      </font>
    </dxf>
    <dxf>
      <font>
        <b val="0"/>
      </font>
    </dxf>
    <dxf>
      <font>
        <b val="0"/>
      </font>
    </dxf>
    <dxf>
      <font>
        <b val="0"/>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wrapText="0"/>
    </dxf>
    <dxf>
      <alignment wrapTex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alignment wrapText="0"/>
    </dxf>
    <dxf>
      <alignment wrapText="0"/>
    </dxf>
    <dxf>
      <alignment vertical="center"/>
    </dxf>
    <dxf>
      <alignment vertic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font>
        <b val="0"/>
      </font>
    </dxf>
    <dxf>
      <font>
        <b val="0"/>
      </font>
    </dxf>
    <dxf>
      <font>
        <b val="0"/>
      </font>
    </dxf>
    <dxf>
      <font>
        <b val="0"/>
      </font>
    </dxf>
    <dxf>
      <font>
        <b val="0"/>
      </font>
    </dxf>
    <dxf>
      <font>
        <b val="0"/>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wrapText="0"/>
    </dxf>
    <dxf>
      <alignment wrapText="0"/>
    </dxf>
    <dxf>
      <alignment vertical="center"/>
    </dxf>
    <dxf>
      <alignment vertic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font>
        <b val="0"/>
      </font>
    </dxf>
    <dxf>
      <font>
        <b val="0"/>
      </font>
    </dxf>
    <dxf>
      <font>
        <b val="0"/>
      </font>
    </dxf>
    <dxf>
      <font>
        <b val="0"/>
      </font>
    </dxf>
    <dxf>
      <font>
        <b val="0"/>
      </font>
    </dxf>
    <dxf>
      <font>
        <b val="0"/>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wrapText="0"/>
    </dxf>
    <dxf>
      <alignment wrapText="0"/>
    </dxf>
    <dxf>
      <alignment vertical="center"/>
    </dxf>
    <dxf>
      <alignment vertic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[Digital Payment Fraud Detection-Project.xlsx]Pivot!Transaction By Hour</c:name>
    <c:fmtId val="7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2000" b="1">
                <a:solidFill>
                  <a:sysClr val="windowText" lastClr="000000"/>
                </a:solidFill>
              </a:rPr>
              <a:t>Transaction By Hour</a:t>
            </a:r>
          </a:p>
        </c:rich>
      </c:tx>
      <c:layout>
        <c:manualLayout>
          <c:xMode val="edge"/>
          <c:yMode val="edge"/>
          <c:x val="0.39759156830805731"/>
          <c:y val="3.49602462848049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565558544865634E-2"/>
          <c:y val="0.17702635383021295"/>
          <c:w val="0.97686888291026874"/>
          <c:h val="0.68088051834146213"/>
        </c:manualLayout>
      </c:layout>
      <c:lineChart>
        <c:grouping val="stacked"/>
        <c:varyColors val="0"/>
        <c:ser>
          <c:idx val="0"/>
          <c:order val="0"/>
          <c:tx>
            <c:strRef>
              <c:f>Pivot!$E$3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Pivot!$E$4:$E$28</c:f>
              <c:numCache>
                <c:formatCode>General</c:formatCode>
                <c:ptCount val="24"/>
                <c:pt idx="0">
                  <c:v>21</c:v>
                </c:pt>
                <c:pt idx="1">
                  <c:v>18</c:v>
                </c:pt>
                <c:pt idx="2">
                  <c:v>14</c:v>
                </c:pt>
                <c:pt idx="3">
                  <c:v>24</c:v>
                </c:pt>
                <c:pt idx="4">
                  <c:v>23</c:v>
                </c:pt>
                <c:pt idx="5">
                  <c:v>18</c:v>
                </c:pt>
                <c:pt idx="6">
                  <c:v>27</c:v>
                </c:pt>
                <c:pt idx="7">
                  <c:v>13</c:v>
                </c:pt>
                <c:pt idx="8">
                  <c:v>21</c:v>
                </c:pt>
                <c:pt idx="9">
                  <c:v>26</c:v>
                </c:pt>
                <c:pt idx="10">
                  <c:v>18</c:v>
                </c:pt>
                <c:pt idx="11">
                  <c:v>17</c:v>
                </c:pt>
                <c:pt idx="12">
                  <c:v>23</c:v>
                </c:pt>
                <c:pt idx="13">
                  <c:v>18</c:v>
                </c:pt>
                <c:pt idx="14">
                  <c:v>27</c:v>
                </c:pt>
                <c:pt idx="15">
                  <c:v>22</c:v>
                </c:pt>
                <c:pt idx="16">
                  <c:v>15</c:v>
                </c:pt>
                <c:pt idx="17">
                  <c:v>20</c:v>
                </c:pt>
                <c:pt idx="18">
                  <c:v>17</c:v>
                </c:pt>
                <c:pt idx="19">
                  <c:v>29</c:v>
                </c:pt>
                <c:pt idx="20">
                  <c:v>19</c:v>
                </c:pt>
                <c:pt idx="21">
                  <c:v>17</c:v>
                </c:pt>
                <c:pt idx="22">
                  <c:v>23</c:v>
                </c:pt>
                <c:pt idx="23">
                  <c:v>19</c:v>
                </c:pt>
              </c:numCache>
            </c:numRef>
          </c:val>
          <c:smooth val="0"/>
          <c:extLst>
            <c:ext xmlns:c16="http://schemas.microsoft.com/office/drawing/2014/chart" uri="{C3380CC4-5D6E-409C-BE32-E72D297353CC}">
              <c16:uniqueId val="{00000000-31F2-437B-B6D4-9C02CF282E9D}"/>
            </c:ext>
          </c:extLst>
        </c:ser>
        <c:dLbls>
          <c:dLblPos val="t"/>
          <c:showLegendKey val="0"/>
          <c:showVal val="1"/>
          <c:showCatName val="0"/>
          <c:showSerName val="0"/>
          <c:showPercent val="0"/>
          <c:showBubbleSize val="0"/>
        </c:dLbls>
        <c:marker val="1"/>
        <c:smooth val="0"/>
        <c:axId val="925018591"/>
        <c:axId val="925020991"/>
      </c:lineChart>
      <c:catAx>
        <c:axId val="92501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ysClr val="windowText" lastClr="000000"/>
                </a:solidFill>
                <a:latin typeface="+mn-lt"/>
                <a:ea typeface="+mn-ea"/>
                <a:cs typeface="+mn-cs"/>
              </a:defRPr>
            </a:pPr>
            <a:endParaRPr lang="en-US"/>
          </a:p>
        </c:txPr>
        <c:crossAx val="925020991"/>
        <c:crosses val="autoZero"/>
        <c:auto val="1"/>
        <c:lblAlgn val="ctr"/>
        <c:lblOffset val="100"/>
        <c:noMultiLvlLbl val="0"/>
      </c:catAx>
      <c:valAx>
        <c:axId val="9250209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2501859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Payment Fraud Detection-Project.xlsx]Pivot!Frau by Payment Mode</c:name>
    <c:fmtId val="50"/>
  </c:pivotSource>
  <c:chart>
    <c:title>
      <c:tx>
        <c:rich>
          <a:bodyPr rot="0" spcFirstLastPara="1" vertOverflow="ellipsis" vert="horz" wrap="square" anchor="ctr" anchorCtr="1"/>
          <a:lstStyle/>
          <a:p>
            <a:pPr>
              <a:defRPr sz="2000" b="0" i="0" u="none" strike="noStrike" kern="1200" spc="0" baseline="0">
                <a:solidFill>
                  <a:sysClr val="windowText" lastClr="000000"/>
                </a:solidFill>
                <a:latin typeface="+mn-lt"/>
                <a:ea typeface="+mn-ea"/>
                <a:cs typeface="+mn-cs"/>
              </a:defRPr>
            </a:pPr>
            <a:r>
              <a:rPr lang="en-IN" sz="20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Fraud by Payment Mode</a:t>
            </a:r>
          </a:p>
        </c:rich>
      </c:tx>
      <c:layout>
        <c:manualLayout>
          <c:xMode val="edge"/>
          <c:yMode val="edge"/>
          <c:x val="0.19679929919434677"/>
          <c:y val="5.5231447658771242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598818418415597E-2"/>
          <c:y val="0.25308046638383808"/>
          <c:w val="0.91998172925830057"/>
          <c:h val="0.57543389044978299"/>
        </c:manualLayout>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Pivot!$A$4:$A$8</c:f>
              <c:strCache>
                <c:ptCount val="4"/>
                <c:pt idx="0">
                  <c:v>Card</c:v>
                </c:pt>
                <c:pt idx="1">
                  <c:v>NetBanking</c:v>
                </c:pt>
                <c:pt idx="2">
                  <c:v>UPI</c:v>
                </c:pt>
                <c:pt idx="3">
                  <c:v>Wallet</c:v>
                </c:pt>
              </c:strCache>
            </c:strRef>
          </c:cat>
          <c:val>
            <c:numRef>
              <c:f>Pivot!$B$4:$B$8</c:f>
              <c:numCache>
                <c:formatCode>General</c:formatCode>
                <c:ptCount val="4"/>
                <c:pt idx="0">
                  <c:v>135</c:v>
                </c:pt>
                <c:pt idx="1">
                  <c:v>120</c:v>
                </c:pt>
                <c:pt idx="2">
                  <c:v>120</c:v>
                </c:pt>
                <c:pt idx="3">
                  <c:v>114</c:v>
                </c:pt>
              </c:numCache>
            </c:numRef>
          </c:val>
          <c:extLst>
            <c:ext xmlns:c16="http://schemas.microsoft.com/office/drawing/2014/chart" uri="{C3380CC4-5D6E-409C-BE32-E72D297353CC}">
              <c16:uniqueId val="{00000000-BA30-45ED-AEAB-DF856222FB4F}"/>
            </c:ext>
          </c:extLst>
        </c:ser>
        <c:dLbls>
          <c:dLblPos val="outEnd"/>
          <c:showLegendKey val="0"/>
          <c:showVal val="1"/>
          <c:showCatName val="0"/>
          <c:showSerName val="0"/>
          <c:showPercent val="0"/>
          <c:showBubbleSize val="0"/>
        </c:dLbls>
        <c:gapWidth val="219"/>
        <c:overlap val="-27"/>
        <c:axId val="1401423503"/>
        <c:axId val="1401423983"/>
      </c:barChart>
      <c:catAx>
        <c:axId val="140142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01423983"/>
        <c:crosses val="autoZero"/>
        <c:auto val="1"/>
        <c:lblAlgn val="ctr"/>
        <c:lblOffset val="100"/>
        <c:noMultiLvlLbl val="0"/>
      </c:catAx>
      <c:valAx>
        <c:axId val="140142398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0142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Payment Fraud Detection-Project.xlsx]Pivot!Fraud by Device Type</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800" b="1">
                <a:solidFill>
                  <a:schemeClr val="tx1"/>
                </a:solidFill>
                <a:latin typeface="Calibri" panose="020F0502020204030204" pitchFamily="34" charset="0"/>
                <a:ea typeface="Calibri" panose="020F0502020204030204" pitchFamily="34" charset="0"/>
                <a:cs typeface="Calibri" panose="020F0502020204030204" pitchFamily="34" charset="0"/>
              </a:rPr>
              <a:t>Fraud by Device Type</a:t>
            </a:r>
          </a:p>
        </c:rich>
      </c:tx>
      <c:layout>
        <c:manualLayout>
          <c:xMode val="edge"/>
          <c:yMode val="edge"/>
          <c:x val="0.26195862739729769"/>
          <c:y val="4.17306621009596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dLbl>
          <c:idx val="0"/>
          <c:layout>
            <c:manualLayout>
              <c:x val="-0.15174124664428976"/>
              <c:y val="8.1274332690231668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dLbl>
          <c:idx val="0"/>
          <c:layout>
            <c:manualLayout>
              <c:x val="7.3565273364625747E-2"/>
              <c:y val="-0.29632417044606918"/>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dLbl>
          <c:idx val="0"/>
          <c:layout>
            <c:manualLayout>
              <c:x val="0.15504736045735198"/>
              <c:y val="8.155680434077883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277254738834591"/>
          <c:y val="0.17644249380765489"/>
          <c:w val="0.69593248101317129"/>
          <c:h val="0.82355750619234513"/>
        </c:manualLayout>
      </c:layout>
      <c:pie3DChart>
        <c:varyColors val="1"/>
        <c:ser>
          <c:idx val="0"/>
          <c:order val="0"/>
          <c:tx>
            <c:strRef>
              <c:f>Pivot!$B$13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399-4E3A-9799-28227A938C2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399-4E3A-9799-28227A938C2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399-4E3A-9799-28227A938C27}"/>
              </c:ext>
            </c:extLst>
          </c:dPt>
          <c:dLbls>
            <c:dLbl>
              <c:idx val="0"/>
              <c:layout>
                <c:manualLayout>
                  <c:x val="-0.15174124664428976"/>
                  <c:y val="8.127433269023166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399-4E3A-9799-28227A938C27}"/>
                </c:ext>
              </c:extLst>
            </c:dLbl>
            <c:dLbl>
              <c:idx val="1"/>
              <c:layout>
                <c:manualLayout>
                  <c:x val="7.3565273364625747E-2"/>
                  <c:y val="-0.2963241704460691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99-4E3A-9799-28227A938C27}"/>
                </c:ext>
              </c:extLst>
            </c:dLbl>
            <c:dLbl>
              <c:idx val="2"/>
              <c:layout>
                <c:manualLayout>
                  <c:x val="0.15504736045735198"/>
                  <c:y val="8.155680434077883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399-4E3A-9799-28227A938C27}"/>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Pivot!$A$14:$A$17</c:f>
              <c:strCache>
                <c:ptCount val="3"/>
                <c:pt idx="0">
                  <c:v>Android</c:v>
                </c:pt>
                <c:pt idx="1">
                  <c:v>iOS</c:v>
                </c:pt>
                <c:pt idx="2">
                  <c:v>Web</c:v>
                </c:pt>
              </c:strCache>
            </c:strRef>
          </c:cat>
          <c:val>
            <c:numRef>
              <c:f>Pivot!$B$14:$B$17</c:f>
              <c:numCache>
                <c:formatCode>General</c:formatCode>
                <c:ptCount val="3"/>
                <c:pt idx="0">
                  <c:v>172</c:v>
                </c:pt>
                <c:pt idx="1">
                  <c:v>165</c:v>
                </c:pt>
                <c:pt idx="2">
                  <c:v>152</c:v>
                </c:pt>
              </c:numCache>
            </c:numRef>
          </c:val>
          <c:extLst>
            <c:ext xmlns:c16="http://schemas.microsoft.com/office/drawing/2014/chart" uri="{C3380CC4-5D6E-409C-BE32-E72D297353CC}">
              <c16:uniqueId val="{00000006-B399-4E3A-9799-28227A938C27}"/>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Payment Fraud Detection-Project.xlsx]Pivot!Transaction By City-Mode-Amt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tx1"/>
                </a:solidFill>
                <a:latin typeface="Calibri" panose="020F0502020204030204" pitchFamily="34" charset="0"/>
                <a:ea typeface="Calibri" panose="020F0502020204030204" pitchFamily="34" charset="0"/>
                <a:cs typeface="Calibri" panose="020F0502020204030204" pitchFamily="34" charset="0"/>
              </a:rPr>
              <a:t>Transaction By City-Mode-Amt</a:t>
            </a:r>
          </a:p>
        </c:rich>
      </c:tx>
      <c:layout>
        <c:manualLayout>
          <c:xMode val="edge"/>
          <c:yMode val="edge"/>
          <c:x val="0.31185046470922662"/>
          <c:y val="3.47882141913086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pivotFmt>
      <c:pivotFmt>
        <c:idx val="7"/>
        <c:spPr>
          <a:solidFill>
            <a:schemeClr val="accent2"/>
          </a:solidFill>
          <a:ln>
            <a:noFill/>
          </a:ln>
          <a:effectLst/>
          <a:sp3d/>
        </c:spPr>
      </c:pivotFmt>
      <c:pivotFmt>
        <c:idx val="8"/>
        <c:spPr>
          <a:solidFill>
            <a:schemeClr val="accent2"/>
          </a:solidFill>
          <a:ln>
            <a:noFill/>
          </a:ln>
          <a:effectLst/>
          <a:sp3d/>
        </c:spPr>
      </c:pivotFmt>
      <c:pivotFmt>
        <c:idx val="9"/>
        <c:spPr>
          <a:solidFill>
            <a:schemeClr val="accent2"/>
          </a:solidFill>
          <a:ln>
            <a:noFill/>
          </a:ln>
          <a:effectLst/>
          <a:sp3d/>
        </c:spPr>
      </c:pivotFmt>
      <c:pivotFmt>
        <c:idx val="10"/>
        <c:spPr>
          <a:solidFill>
            <a:schemeClr val="accent2"/>
          </a:solidFill>
          <a:ln>
            <a:noFill/>
          </a:ln>
          <a:effectLst/>
          <a:sp3d/>
        </c:spPr>
      </c:pivotFmt>
      <c:pivotFmt>
        <c:idx val="11"/>
        <c:spPr>
          <a:solidFill>
            <a:schemeClr val="accent2"/>
          </a:solidFill>
          <a:ln>
            <a:noFill/>
          </a:ln>
          <a:effectLst/>
          <a:sp3d/>
        </c:spPr>
      </c:pivotFmt>
      <c:pivotFmt>
        <c:idx val="12"/>
        <c:spPr>
          <a:solidFill>
            <a:schemeClr val="accent2"/>
          </a:solidFill>
          <a:ln>
            <a:noFill/>
          </a:ln>
          <a:effectLst/>
          <a:sp3d/>
        </c:spPr>
      </c:pivotFmt>
      <c:pivotFmt>
        <c:idx val="13"/>
        <c:spPr>
          <a:solidFill>
            <a:schemeClr val="accent2"/>
          </a:solidFill>
          <a:ln>
            <a:noFill/>
          </a:ln>
          <a:effectLst/>
          <a:sp3d/>
        </c:spPr>
      </c:pivotFmt>
      <c:pivotFmt>
        <c:idx val="14"/>
        <c:spPr>
          <a:solidFill>
            <a:schemeClr val="accent2"/>
          </a:solidFill>
          <a:ln>
            <a:noFill/>
          </a:ln>
          <a:effectLst/>
          <a:sp3d/>
        </c:spPr>
      </c:pivotFmt>
      <c:pivotFmt>
        <c:idx val="15"/>
        <c:spPr>
          <a:solidFill>
            <a:schemeClr val="accent2"/>
          </a:solidFill>
          <a:ln>
            <a:noFill/>
          </a:ln>
          <a:effectLst/>
          <a:sp3d/>
        </c:spPr>
      </c:pivotFmt>
      <c:pivotFmt>
        <c:idx val="16"/>
        <c:spPr>
          <a:solidFill>
            <a:schemeClr val="accent2"/>
          </a:solidFill>
          <a:ln>
            <a:noFill/>
          </a:ln>
          <a:effectLst/>
          <a:sp3d/>
        </c:spPr>
      </c:pivotFmt>
      <c:pivotFmt>
        <c:idx val="17"/>
        <c:spPr>
          <a:solidFill>
            <a:schemeClr val="accent2"/>
          </a:solidFill>
          <a:ln>
            <a:noFill/>
          </a:ln>
          <a:effectLst/>
          <a:sp3d/>
        </c:spPr>
      </c:pivotFmt>
      <c:pivotFmt>
        <c:idx val="18"/>
        <c:spPr>
          <a:solidFill>
            <a:schemeClr val="accent2"/>
          </a:solidFill>
          <a:ln>
            <a:noFill/>
          </a:ln>
          <a:effectLst/>
          <a:sp3d/>
        </c:spPr>
      </c:pivotFmt>
      <c:pivotFmt>
        <c:idx val="19"/>
        <c:spPr>
          <a:solidFill>
            <a:schemeClr val="accent2"/>
          </a:solidFill>
          <a:ln>
            <a:noFill/>
          </a:ln>
          <a:effectLst/>
          <a:sp3d/>
        </c:spPr>
      </c:pivotFmt>
      <c:pivotFmt>
        <c:idx val="20"/>
        <c:spPr>
          <a:solidFill>
            <a:schemeClr val="accent2"/>
          </a:solidFill>
          <a:ln>
            <a:noFill/>
          </a:ln>
          <a:effectLst/>
          <a:sp3d/>
        </c:spPr>
      </c:pivotFmt>
      <c:pivotFmt>
        <c:idx val="21"/>
        <c:spPr>
          <a:solidFill>
            <a:schemeClr val="accent2"/>
          </a:solidFill>
          <a:ln>
            <a:noFill/>
          </a:ln>
          <a:effectLst/>
          <a:sp3d/>
        </c:spPr>
      </c:pivotFmt>
      <c:pivotFmt>
        <c:idx val="22"/>
        <c:spPr>
          <a:solidFill>
            <a:schemeClr val="accent2"/>
          </a:solidFill>
          <a:ln>
            <a:noFill/>
          </a:ln>
          <a:effectLst/>
          <a:sp3d/>
        </c:spPr>
      </c:pivotFmt>
      <c:pivotFmt>
        <c:idx val="23"/>
        <c:spPr>
          <a:solidFill>
            <a:schemeClr val="accent2"/>
          </a:solidFill>
          <a:ln>
            <a:noFill/>
          </a:ln>
          <a:effectLst/>
          <a:sp3d/>
        </c:spPr>
      </c:pivotFmt>
      <c:pivotFmt>
        <c:idx val="24"/>
        <c:spPr>
          <a:solidFill>
            <a:schemeClr val="accent2"/>
          </a:solidFill>
          <a:ln>
            <a:noFill/>
          </a:ln>
          <a:effectLst/>
          <a:sp3d/>
        </c:spPr>
      </c:pivotFmt>
      <c:pivotFmt>
        <c:idx val="25"/>
        <c:spPr>
          <a:solidFill>
            <a:schemeClr val="accent2"/>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Pivot!$H$3</c:f>
              <c:strCache>
                <c:ptCount val="1"/>
                <c:pt idx="0">
                  <c:v>Count of fraud_label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Pivot!$G$4:$G$29</c:f>
              <c:multiLvlStrCache>
                <c:ptCount val="20"/>
                <c:lvl>
                  <c:pt idx="0">
                    <c:v>Card</c:v>
                  </c:pt>
                  <c:pt idx="1">
                    <c:v>NetBanking</c:v>
                  </c:pt>
                  <c:pt idx="2">
                    <c:v>UPI</c:v>
                  </c:pt>
                  <c:pt idx="3">
                    <c:v>Wallet</c:v>
                  </c:pt>
                  <c:pt idx="4">
                    <c:v>Card</c:v>
                  </c:pt>
                  <c:pt idx="5">
                    <c:v>NetBanking</c:v>
                  </c:pt>
                  <c:pt idx="6">
                    <c:v>UPI</c:v>
                  </c:pt>
                  <c:pt idx="7">
                    <c:v>Wallet</c:v>
                  </c:pt>
                  <c:pt idx="8">
                    <c:v>Card</c:v>
                  </c:pt>
                  <c:pt idx="9">
                    <c:v>NetBanking</c:v>
                  </c:pt>
                  <c:pt idx="10">
                    <c:v>UPI</c:v>
                  </c:pt>
                  <c:pt idx="11">
                    <c:v>Wallet</c:v>
                  </c:pt>
                  <c:pt idx="12">
                    <c:v>Card</c:v>
                  </c:pt>
                  <c:pt idx="13">
                    <c:v>NetBanking</c:v>
                  </c:pt>
                  <c:pt idx="14">
                    <c:v>UPI</c:v>
                  </c:pt>
                  <c:pt idx="15">
                    <c:v>Wallet</c:v>
                  </c:pt>
                  <c:pt idx="16">
                    <c:v>Card</c:v>
                  </c:pt>
                  <c:pt idx="17">
                    <c:v>NetBanking</c:v>
                  </c:pt>
                  <c:pt idx="18">
                    <c:v>UPI</c:v>
                  </c:pt>
                  <c:pt idx="19">
                    <c:v>Wallet</c:v>
                  </c:pt>
                </c:lvl>
                <c:lvl>
                  <c:pt idx="0">
                    <c:v>Bangalore</c:v>
                  </c:pt>
                  <c:pt idx="4">
                    <c:v>Chennai</c:v>
                  </c:pt>
                  <c:pt idx="8">
                    <c:v>Delhi</c:v>
                  </c:pt>
                  <c:pt idx="12">
                    <c:v>Hyderabad</c:v>
                  </c:pt>
                  <c:pt idx="16">
                    <c:v>Mumbai</c:v>
                  </c:pt>
                </c:lvl>
              </c:multiLvlStrCache>
            </c:multiLvlStrRef>
          </c:cat>
          <c:val>
            <c:numRef>
              <c:f>Pivot!$H$4:$H$29</c:f>
              <c:numCache>
                <c:formatCode>General</c:formatCode>
                <c:ptCount val="20"/>
                <c:pt idx="0">
                  <c:v>25</c:v>
                </c:pt>
                <c:pt idx="1">
                  <c:v>16</c:v>
                </c:pt>
                <c:pt idx="2">
                  <c:v>27</c:v>
                </c:pt>
                <c:pt idx="3">
                  <c:v>25</c:v>
                </c:pt>
                <c:pt idx="4">
                  <c:v>26</c:v>
                </c:pt>
                <c:pt idx="5">
                  <c:v>26</c:v>
                </c:pt>
                <c:pt idx="6">
                  <c:v>14</c:v>
                </c:pt>
                <c:pt idx="7">
                  <c:v>25</c:v>
                </c:pt>
                <c:pt idx="8">
                  <c:v>23</c:v>
                </c:pt>
                <c:pt idx="9">
                  <c:v>22</c:v>
                </c:pt>
                <c:pt idx="10">
                  <c:v>18</c:v>
                </c:pt>
                <c:pt idx="11">
                  <c:v>20</c:v>
                </c:pt>
                <c:pt idx="12">
                  <c:v>25</c:v>
                </c:pt>
                <c:pt idx="13">
                  <c:v>26</c:v>
                </c:pt>
                <c:pt idx="14">
                  <c:v>39</c:v>
                </c:pt>
                <c:pt idx="15">
                  <c:v>25</c:v>
                </c:pt>
                <c:pt idx="16">
                  <c:v>36</c:v>
                </c:pt>
                <c:pt idx="17">
                  <c:v>30</c:v>
                </c:pt>
                <c:pt idx="18">
                  <c:v>22</c:v>
                </c:pt>
                <c:pt idx="19">
                  <c:v>19</c:v>
                </c:pt>
              </c:numCache>
            </c:numRef>
          </c:val>
          <c:extLst>
            <c:ext xmlns:c16="http://schemas.microsoft.com/office/drawing/2014/chart" uri="{C3380CC4-5D6E-409C-BE32-E72D297353CC}">
              <c16:uniqueId val="{00000000-685A-498B-9AD0-F64A34AF5468}"/>
            </c:ext>
          </c:extLst>
        </c:ser>
        <c:ser>
          <c:idx val="1"/>
          <c:order val="1"/>
          <c:tx>
            <c:strRef>
              <c:f>Pivot!$I$3</c:f>
              <c:strCache>
                <c:ptCount val="1"/>
                <c:pt idx="0">
                  <c:v>Sum of transaction_amount</c:v>
                </c:pt>
              </c:strCache>
            </c:strRef>
          </c:tx>
          <c:spPr>
            <a:solidFill>
              <a:schemeClr val="accent2"/>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2-685A-498B-9AD0-F64A34AF5468}"/>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685A-498B-9AD0-F64A34AF5468}"/>
              </c:ext>
            </c:extLst>
          </c:dPt>
          <c:dPt>
            <c:idx val="2"/>
            <c:invertIfNegative val="0"/>
            <c:bubble3D val="0"/>
            <c:spPr>
              <a:solidFill>
                <a:schemeClr val="accent2"/>
              </a:solidFill>
              <a:ln>
                <a:noFill/>
              </a:ln>
              <a:effectLst/>
              <a:sp3d/>
            </c:spPr>
            <c:extLst>
              <c:ext xmlns:c16="http://schemas.microsoft.com/office/drawing/2014/chart" uri="{C3380CC4-5D6E-409C-BE32-E72D297353CC}">
                <c16:uniqueId val="{00000004-685A-498B-9AD0-F64A34AF5468}"/>
              </c:ext>
            </c:extLst>
          </c:dPt>
          <c:dPt>
            <c:idx val="3"/>
            <c:invertIfNegative val="0"/>
            <c:bubble3D val="0"/>
            <c:spPr>
              <a:solidFill>
                <a:schemeClr val="accent2"/>
              </a:solidFill>
              <a:ln>
                <a:noFill/>
              </a:ln>
              <a:effectLst/>
              <a:sp3d/>
            </c:spPr>
            <c:extLst>
              <c:ext xmlns:c16="http://schemas.microsoft.com/office/drawing/2014/chart" uri="{C3380CC4-5D6E-409C-BE32-E72D297353CC}">
                <c16:uniqueId val="{00000005-685A-498B-9AD0-F64A34AF5468}"/>
              </c:ext>
            </c:extLst>
          </c:dPt>
          <c:dPt>
            <c:idx val="4"/>
            <c:invertIfNegative val="0"/>
            <c:bubble3D val="0"/>
            <c:spPr>
              <a:solidFill>
                <a:schemeClr val="accent2"/>
              </a:solidFill>
              <a:ln>
                <a:noFill/>
              </a:ln>
              <a:effectLst/>
              <a:sp3d/>
            </c:spPr>
            <c:extLst>
              <c:ext xmlns:c16="http://schemas.microsoft.com/office/drawing/2014/chart" uri="{C3380CC4-5D6E-409C-BE32-E72D297353CC}">
                <c16:uniqueId val="{00000006-685A-498B-9AD0-F64A34AF5468}"/>
              </c:ext>
            </c:extLst>
          </c:dPt>
          <c:dPt>
            <c:idx val="5"/>
            <c:invertIfNegative val="0"/>
            <c:bubble3D val="0"/>
            <c:spPr>
              <a:solidFill>
                <a:schemeClr val="accent2"/>
              </a:solidFill>
              <a:ln>
                <a:noFill/>
              </a:ln>
              <a:effectLst/>
              <a:sp3d/>
            </c:spPr>
            <c:extLst>
              <c:ext xmlns:c16="http://schemas.microsoft.com/office/drawing/2014/chart" uri="{C3380CC4-5D6E-409C-BE32-E72D297353CC}">
                <c16:uniqueId val="{00000007-685A-498B-9AD0-F64A34AF5468}"/>
              </c:ext>
            </c:extLst>
          </c:dPt>
          <c:dPt>
            <c:idx val="6"/>
            <c:invertIfNegative val="0"/>
            <c:bubble3D val="0"/>
            <c:spPr>
              <a:solidFill>
                <a:schemeClr val="accent2"/>
              </a:solidFill>
              <a:ln>
                <a:noFill/>
              </a:ln>
              <a:effectLst/>
              <a:sp3d/>
            </c:spPr>
            <c:extLst>
              <c:ext xmlns:c16="http://schemas.microsoft.com/office/drawing/2014/chart" uri="{C3380CC4-5D6E-409C-BE32-E72D297353CC}">
                <c16:uniqueId val="{00000008-685A-498B-9AD0-F64A34AF5468}"/>
              </c:ext>
            </c:extLst>
          </c:dPt>
          <c:dPt>
            <c:idx val="7"/>
            <c:invertIfNegative val="0"/>
            <c:bubble3D val="0"/>
            <c:spPr>
              <a:solidFill>
                <a:schemeClr val="accent2"/>
              </a:solidFill>
              <a:ln>
                <a:noFill/>
              </a:ln>
              <a:effectLst/>
              <a:sp3d/>
            </c:spPr>
            <c:extLst>
              <c:ext xmlns:c16="http://schemas.microsoft.com/office/drawing/2014/chart" uri="{C3380CC4-5D6E-409C-BE32-E72D297353CC}">
                <c16:uniqueId val="{00000009-685A-498B-9AD0-F64A34AF5468}"/>
              </c:ext>
            </c:extLst>
          </c:dPt>
          <c:dPt>
            <c:idx val="8"/>
            <c:invertIfNegative val="0"/>
            <c:bubble3D val="0"/>
            <c:spPr>
              <a:solidFill>
                <a:schemeClr val="accent2"/>
              </a:solidFill>
              <a:ln>
                <a:noFill/>
              </a:ln>
              <a:effectLst/>
              <a:sp3d/>
            </c:spPr>
            <c:extLst>
              <c:ext xmlns:c16="http://schemas.microsoft.com/office/drawing/2014/chart" uri="{C3380CC4-5D6E-409C-BE32-E72D297353CC}">
                <c16:uniqueId val="{00000015-685A-498B-9AD0-F64A34AF5468}"/>
              </c:ext>
            </c:extLst>
          </c:dPt>
          <c:dPt>
            <c:idx val="9"/>
            <c:invertIfNegative val="0"/>
            <c:bubble3D val="0"/>
            <c:spPr>
              <a:solidFill>
                <a:schemeClr val="accent2"/>
              </a:solidFill>
              <a:ln>
                <a:noFill/>
              </a:ln>
              <a:effectLst/>
              <a:sp3d/>
            </c:spPr>
            <c:extLst>
              <c:ext xmlns:c16="http://schemas.microsoft.com/office/drawing/2014/chart" uri="{C3380CC4-5D6E-409C-BE32-E72D297353CC}">
                <c16:uniqueId val="{00000014-685A-498B-9AD0-F64A34AF5468}"/>
              </c:ext>
            </c:extLst>
          </c:dPt>
          <c:dPt>
            <c:idx val="10"/>
            <c:invertIfNegative val="0"/>
            <c:bubble3D val="0"/>
            <c:spPr>
              <a:solidFill>
                <a:schemeClr val="accent2"/>
              </a:solidFill>
              <a:ln>
                <a:noFill/>
              </a:ln>
              <a:effectLst/>
              <a:sp3d/>
            </c:spPr>
            <c:extLst>
              <c:ext xmlns:c16="http://schemas.microsoft.com/office/drawing/2014/chart" uri="{C3380CC4-5D6E-409C-BE32-E72D297353CC}">
                <c16:uniqueId val="{00000013-685A-498B-9AD0-F64A34AF5468}"/>
              </c:ext>
            </c:extLst>
          </c:dPt>
          <c:dPt>
            <c:idx val="11"/>
            <c:invertIfNegative val="0"/>
            <c:bubble3D val="0"/>
            <c:spPr>
              <a:solidFill>
                <a:schemeClr val="accent2"/>
              </a:solidFill>
              <a:ln>
                <a:noFill/>
              </a:ln>
              <a:effectLst/>
              <a:sp3d/>
            </c:spPr>
            <c:extLst>
              <c:ext xmlns:c16="http://schemas.microsoft.com/office/drawing/2014/chart" uri="{C3380CC4-5D6E-409C-BE32-E72D297353CC}">
                <c16:uniqueId val="{00000012-685A-498B-9AD0-F64A34AF5468}"/>
              </c:ext>
            </c:extLst>
          </c:dPt>
          <c:dPt>
            <c:idx val="12"/>
            <c:invertIfNegative val="0"/>
            <c:bubble3D val="0"/>
            <c:spPr>
              <a:solidFill>
                <a:schemeClr val="accent2"/>
              </a:solidFill>
              <a:ln>
                <a:noFill/>
              </a:ln>
              <a:effectLst/>
              <a:sp3d/>
            </c:spPr>
            <c:extLst>
              <c:ext xmlns:c16="http://schemas.microsoft.com/office/drawing/2014/chart" uri="{C3380CC4-5D6E-409C-BE32-E72D297353CC}">
                <c16:uniqueId val="{00000011-685A-498B-9AD0-F64A34AF5468}"/>
              </c:ext>
            </c:extLst>
          </c:dPt>
          <c:dPt>
            <c:idx val="13"/>
            <c:invertIfNegative val="0"/>
            <c:bubble3D val="0"/>
            <c:spPr>
              <a:solidFill>
                <a:schemeClr val="accent2"/>
              </a:solidFill>
              <a:ln>
                <a:noFill/>
              </a:ln>
              <a:effectLst/>
              <a:sp3d/>
            </c:spPr>
            <c:extLst>
              <c:ext xmlns:c16="http://schemas.microsoft.com/office/drawing/2014/chart" uri="{C3380CC4-5D6E-409C-BE32-E72D297353CC}">
                <c16:uniqueId val="{00000010-685A-498B-9AD0-F64A34AF5468}"/>
              </c:ext>
            </c:extLst>
          </c:dPt>
          <c:dPt>
            <c:idx val="14"/>
            <c:invertIfNegative val="0"/>
            <c:bubble3D val="0"/>
            <c:spPr>
              <a:solidFill>
                <a:schemeClr val="accent2"/>
              </a:solidFill>
              <a:ln>
                <a:noFill/>
              </a:ln>
              <a:effectLst/>
              <a:sp3d/>
            </c:spPr>
            <c:extLst>
              <c:ext xmlns:c16="http://schemas.microsoft.com/office/drawing/2014/chart" uri="{C3380CC4-5D6E-409C-BE32-E72D297353CC}">
                <c16:uniqueId val="{0000000F-685A-498B-9AD0-F64A34AF5468}"/>
              </c:ext>
            </c:extLst>
          </c:dPt>
          <c:dPt>
            <c:idx val="15"/>
            <c:invertIfNegative val="0"/>
            <c:bubble3D val="0"/>
            <c:spPr>
              <a:solidFill>
                <a:schemeClr val="accent2"/>
              </a:solidFill>
              <a:ln>
                <a:noFill/>
              </a:ln>
              <a:effectLst/>
              <a:sp3d/>
            </c:spPr>
            <c:extLst>
              <c:ext xmlns:c16="http://schemas.microsoft.com/office/drawing/2014/chart" uri="{C3380CC4-5D6E-409C-BE32-E72D297353CC}">
                <c16:uniqueId val="{0000000E-685A-498B-9AD0-F64A34AF5468}"/>
              </c:ext>
            </c:extLst>
          </c:dPt>
          <c:dPt>
            <c:idx val="16"/>
            <c:invertIfNegative val="0"/>
            <c:bubble3D val="0"/>
            <c:spPr>
              <a:solidFill>
                <a:schemeClr val="accent2"/>
              </a:solidFill>
              <a:ln>
                <a:noFill/>
              </a:ln>
              <a:effectLst/>
              <a:sp3d/>
            </c:spPr>
            <c:extLst>
              <c:ext xmlns:c16="http://schemas.microsoft.com/office/drawing/2014/chart" uri="{C3380CC4-5D6E-409C-BE32-E72D297353CC}">
                <c16:uniqueId val="{0000000D-685A-498B-9AD0-F64A34AF5468}"/>
              </c:ext>
            </c:extLst>
          </c:dPt>
          <c:dPt>
            <c:idx val="17"/>
            <c:invertIfNegative val="0"/>
            <c:bubble3D val="0"/>
            <c:spPr>
              <a:solidFill>
                <a:schemeClr val="accent2"/>
              </a:solidFill>
              <a:ln>
                <a:noFill/>
              </a:ln>
              <a:effectLst/>
              <a:sp3d/>
            </c:spPr>
            <c:extLst>
              <c:ext xmlns:c16="http://schemas.microsoft.com/office/drawing/2014/chart" uri="{C3380CC4-5D6E-409C-BE32-E72D297353CC}">
                <c16:uniqueId val="{0000000C-685A-498B-9AD0-F64A34AF5468}"/>
              </c:ext>
            </c:extLst>
          </c:dPt>
          <c:dPt>
            <c:idx val="18"/>
            <c:invertIfNegative val="0"/>
            <c:bubble3D val="0"/>
            <c:spPr>
              <a:solidFill>
                <a:schemeClr val="accent2"/>
              </a:solidFill>
              <a:ln>
                <a:noFill/>
              </a:ln>
              <a:effectLst/>
              <a:sp3d/>
            </c:spPr>
            <c:extLst>
              <c:ext xmlns:c16="http://schemas.microsoft.com/office/drawing/2014/chart" uri="{C3380CC4-5D6E-409C-BE32-E72D297353CC}">
                <c16:uniqueId val="{0000000B-685A-498B-9AD0-F64A34AF5468}"/>
              </c:ext>
            </c:extLst>
          </c:dPt>
          <c:dPt>
            <c:idx val="19"/>
            <c:invertIfNegative val="0"/>
            <c:bubble3D val="0"/>
            <c:spPr>
              <a:solidFill>
                <a:schemeClr val="accent2"/>
              </a:solidFill>
              <a:ln>
                <a:noFill/>
              </a:ln>
              <a:effectLst/>
              <a:sp3d/>
            </c:spPr>
            <c:extLst>
              <c:ext xmlns:c16="http://schemas.microsoft.com/office/drawing/2014/chart" uri="{C3380CC4-5D6E-409C-BE32-E72D297353CC}">
                <c16:uniqueId val="{0000000A-685A-498B-9AD0-F64A34AF5468}"/>
              </c:ext>
            </c:extLst>
          </c:dPt>
          <c:dLbls>
            <c:dLbl>
              <c:idx val="0"/>
              <c:layout>
                <c:manualLayout>
                  <c:x val="-9.0248172074005855E-3"/>
                  <c:y val="-0.344182584252991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85A-498B-9AD0-F64A34AF5468}"/>
                </c:ext>
              </c:extLst>
            </c:dLbl>
            <c:dLbl>
              <c:idx val="1"/>
              <c:layout>
                <c:manualLayout>
                  <c:x val="4.2833451959135762E-3"/>
                  <c:y val="-0.24034136277578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5A-498B-9AD0-F64A34AF5468}"/>
                </c:ext>
              </c:extLst>
            </c:dLbl>
            <c:dLbl>
              <c:idx val="2"/>
              <c:layout>
                <c:manualLayout>
                  <c:x val="5.7111269278847685E-3"/>
                  <c:y val="-0.289532217219070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85A-498B-9AD0-F64A34AF5468}"/>
                </c:ext>
              </c:extLst>
            </c:dLbl>
            <c:dLbl>
              <c:idx val="3"/>
              <c:layout>
                <c:manualLayout>
                  <c:x val="2.6044087876255619E-3"/>
                  <c:y val="-0.310194909872502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5A-498B-9AD0-F64A34AF5468}"/>
                </c:ext>
              </c:extLst>
            </c:dLbl>
            <c:dLbl>
              <c:idx val="4"/>
              <c:layout>
                <c:manualLayout>
                  <c:x val="-7.1389385590520989E-3"/>
                  <c:y val="-0.353341533007905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85A-498B-9AD0-F64A34AF5468}"/>
                </c:ext>
              </c:extLst>
            </c:dLbl>
            <c:dLbl>
              <c:idx val="5"/>
              <c:layout>
                <c:manualLayout>
                  <c:x val="9.9944695074614953E-3"/>
                  <c:y val="-0.275129646250139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85A-498B-9AD0-F64A34AF5468}"/>
                </c:ext>
              </c:extLst>
            </c:dLbl>
            <c:dLbl>
              <c:idx val="6"/>
              <c:layout>
                <c:manualLayout>
                  <c:x val="7.4685351195518824E-3"/>
                  <c:y val="-0.18544492162836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85A-498B-9AD0-F64A34AF5468}"/>
                </c:ext>
              </c:extLst>
            </c:dLbl>
            <c:dLbl>
              <c:idx val="7"/>
              <c:layout>
                <c:manualLayout>
                  <c:x val="-5.632655144505669E-3"/>
                  <c:y val="-0.24919249798095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85A-498B-9AD0-F64A34AF5468}"/>
                </c:ext>
              </c:extLst>
            </c:dLbl>
            <c:dLbl>
              <c:idx val="8"/>
              <c:layout>
                <c:manualLayout>
                  <c:x val="1.1453590005708341E-2"/>
                  <c:y val="-0.301005145197928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685A-498B-9AD0-F64A34AF5468}"/>
                </c:ext>
              </c:extLst>
            </c:dLbl>
            <c:dLbl>
              <c:idx val="9"/>
              <c:layout>
                <c:manualLayout>
                  <c:x val="8.5823172942478352E-3"/>
                  <c:y val="-0.228683658715748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685A-498B-9AD0-F64A34AF5468}"/>
                </c:ext>
              </c:extLst>
            </c:dLbl>
            <c:dLbl>
              <c:idx val="10"/>
              <c:layout>
                <c:manualLayout>
                  <c:x val="-2.8869971604802312E-3"/>
                  <c:y val="-0.272045960335316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85A-498B-9AD0-F64A34AF5468}"/>
                </c:ext>
              </c:extLst>
            </c:dLbl>
            <c:dLbl>
              <c:idx val="11"/>
              <c:layout>
                <c:manualLayout>
                  <c:x val="4.4245494364927741E-3"/>
                  <c:y val="-0.22322437439423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85A-498B-9AD0-F64A34AF5468}"/>
                </c:ext>
              </c:extLst>
            </c:dLbl>
            <c:dLbl>
              <c:idx val="12"/>
              <c:layout>
                <c:manualLayout>
                  <c:x val="-2.7143221521911637E-3"/>
                  <c:y val="-0.28410381817861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85A-498B-9AD0-F64A34AF5468}"/>
                </c:ext>
              </c:extLst>
            </c:dLbl>
            <c:dLbl>
              <c:idx val="13"/>
              <c:layout>
                <c:manualLayout>
                  <c:x val="1.1500725639148741E-2"/>
                  <c:y val="-0.327435163579935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85A-498B-9AD0-F64A34AF5468}"/>
                </c:ext>
              </c:extLst>
            </c:dLbl>
            <c:dLbl>
              <c:idx val="14"/>
              <c:layout>
                <c:manualLayout>
                  <c:x val="-1.4042380873702185E-2"/>
                  <c:y val="-0.335885756821983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85A-498B-9AD0-F64A34AF5468}"/>
                </c:ext>
              </c:extLst>
            </c:dLbl>
            <c:dLbl>
              <c:idx val="15"/>
              <c:layout>
                <c:manualLayout>
                  <c:x val="7.4056786394677025E-3"/>
                  <c:y val="-0.255082751820422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85A-498B-9AD0-F64A34AF5468}"/>
                </c:ext>
              </c:extLst>
            </c:dLbl>
            <c:dLbl>
              <c:idx val="16"/>
              <c:layout>
                <c:manualLayout>
                  <c:x val="4.1733947601758472E-3"/>
                  <c:y val="-0.376687422417032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85A-498B-9AD0-F64A34AF5468}"/>
                </c:ext>
              </c:extLst>
            </c:dLbl>
            <c:dLbl>
              <c:idx val="17"/>
              <c:layout>
                <c:manualLayout>
                  <c:x val="1.3085450937878341E-2"/>
                  <c:y val="-0.330334181429211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85A-498B-9AD0-F64A34AF5468}"/>
                </c:ext>
              </c:extLst>
            </c:dLbl>
            <c:dLbl>
              <c:idx val="18"/>
              <c:layout>
                <c:manualLayout>
                  <c:x val="1.0276998287926737E-2"/>
                  <c:y val="-0.220017399089122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85A-498B-9AD0-F64A34AF5468}"/>
                </c:ext>
              </c:extLst>
            </c:dLbl>
            <c:dLbl>
              <c:idx val="19"/>
              <c:layout>
                <c:manualLayout>
                  <c:x val="2.0586026828580756E-2"/>
                  <c:y val="-0.197040764756343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85A-498B-9AD0-F64A34AF5468}"/>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Pivot!$G$4:$G$29</c:f>
              <c:multiLvlStrCache>
                <c:ptCount val="20"/>
                <c:lvl>
                  <c:pt idx="0">
                    <c:v>Card</c:v>
                  </c:pt>
                  <c:pt idx="1">
                    <c:v>NetBanking</c:v>
                  </c:pt>
                  <c:pt idx="2">
                    <c:v>UPI</c:v>
                  </c:pt>
                  <c:pt idx="3">
                    <c:v>Wallet</c:v>
                  </c:pt>
                  <c:pt idx="4">
                    <c:v>Card</c:v>
                  </c:pt>
                  <c:pt idx="5">
                    <c:v>NetBanking</c:v>
                  </c:pt>
                  <c:pt idx="6">
                    <c:v>UPI</c:v>
                  </c:pt>
                  <c:pt idx="7">
                    <c:v>Wallet</c:v>
                  </c:pt>
                  <c:pt idx="8">
                    <c:v>Card</c:v>
                  </c:pt>
                  <c:pt idx="9">
                    <c:v>NetBanking</c:v>
                  </c:pt>
                  <c:pt idx="10">
                    <c:v>UPI</c:v>
                  </c:pt>
                  <c:pt idx="11">
                    <c:v>Wallet</c:v>
                  </c:pt>
                  <c:pt idx="12">
                    <c:v>Card</c:v>
                  </c:pt>
                  <c:pt idx="13">
                    <c:v>NetBanking</c:v>
                  </c:pt>
                  <c:pt idx="14">
                    <c:v>UPI</c:v>
                  </c:pt>
                  <c:pt idx="15">
                    <c:v>Wallet</c:v>
                  </c:pt>
                  <c:pt idx="16">
                    <c:v>Card</c:v>
                  </c:pt>
                  <c:pt idx="17">
                    <c:v>NetBanking</c:v>
                  </c:pt>
                  <c:pt idx="18">
                    <c:v>UPI</c:v>
                  </c:pt>
                  <c:pt idx="19">
                    <c:v>Wallet</c:v>
                  </c:pt>
                </c:lvl>
                <c:lvl>
                  <c:pt idx="0">
                    <c:v>Bangalore</c:v>
                  </c:pt>
                  <c:pt idx="4">
                    <c:v>Chennai</c:v>
                  </c:pt>
                  <c:pt idx="8">
                    <c:v>Delhi</c:v>
                  </c:pt>
                  <c:pt idx="12">
                    <c:v>Hyderabad</c:v>
                  </c:pt>
                  <c:pt idx="16">
                    <c:v>Mumbai</c:v>
                  </c:pt>
                </c:lvl>
              </c:multiLvlStrCache>
            </c:multiLvlStrRef>
          </c:cat>
          <c:val>
            <c:numRef>
              <c:f>Pivot!$I$4:$I$29</c:f>
              <c:numCache>
                <c:formatCode>#,##0.00</c:formatCode>
                <c:ptCount val="20"/>
                <c:pt idx="0">
                  <c:v>690675.43</c:v>
                </c:pt>
                <c:pt idx="1">
                  <c:v>402563.87000000005</c:v>
                </c:pt>
                <c:pt idx="2">
                  <c:v>572516.34</c:v>
                </c:pt>
                <c:pt idx="3">
                  <c:v>731806.71999999997</c:v>
                </c:pt>
                <c:pt idx="4">
                  <c:v>709119.87000000011</c:v>
                </c:pt>
                <c:pt idx="5">
                  <c:v>546229.67999999993</c:v>
                </c:pt>
                <c:pt idx="6">
                  <c:v>309591.21999999997</c:v>
                </c:pt>
                <c:pt idx="7">
                  <c:v>553756.03999999992</c:v>
                </c:pt>
                <c:pt idx="8">
                  <c:v>513453.3</c:v>
                </c:pt>
                <c:pt idx="9">
                  <c:v>445999.39000000007</c:v>
                </c:pt>
                <c:pt idx="10">
                  <c:v>462201.93999999994</c:v>
                </c:pt>
                <c:pt idx="11">
                  <c:v>474908.37</c:v>
                </c:pt>
                <c:pt idx="12">
                  <c:v>631838.46000000008</c:v>
                </c:pt>
                <c:pt idx="13">
                  <c:v>655605.70999999985</c:v>
                </c:pt>
                <c:pt idx="14">
                  <c:v>919334.41</c:v>
                </c:pt>
                <c:pt idx="15">
                  <c:v>682992.94000000018</c:v>
                </c:pt>
                <c:pt idx="16">
                  <c:v>890404.25</c:v>
                </c:pt>
                <c:pt idx="17">
                  <c:v>685602.66</c:v>
                </c:pt>
                <c:pt idx="18">
                  <c:v>510783.33</c:v>
                </c:pt>
                <c:pt idx="19">
                  <c:v>471903.19</c:v>
                </c:pt>
              </c:numCache>
            </c:numRef>
          </c:val>
          <c:extLst>
            <c:ext xmlns:c16="http://schemas.microsoft.com/office/drawing/2014/chart" uri="{C3380CC4-5D6E-409C-BE32-E72D297353CC}">
              <c16:uniqueId val="{00000001-685A-498B-9AD0-F64A34AF5468}"/>
            </c:ext>
          </c:extLst>
        </c:ser>
        <c:dLbls>
          <c:showLegendKey val="0"/>
          <c:showVal val="1"/>
          <c:showCatName val="0"/>
          <c:showSerName val="0"/>
          <c:showPercent val="0"/>
          <c:showBubbleSize val="0"/>
        </c:dLbls>
        <c:gapWidth val="150"/>
        <c:shape val="box"/>
        <c:axId val="124865231"/>
        <c:axId val="166881103"/>
        <c:axId val="0"/>
      </c:bar3DChart>
      <c:catAx>
        <c:axId val="124865231"/>
        <c:scaling>
          <c:orientation val="minMax"/>
        </c:scaling>
        <c:delete val="0"/>
        <c:axPos val="b"/>
        <c:numFmt formatCode="General" sourceLinked="1"/>
        <c:majorTickMark val="out"/>
        <c:minorTickMark val="none"/>
        <c:tickLblPos val="nextTo"/>
        <c:spPr>
          <a:noFill/>
          <a:ln>
            <a:noFill/>
          </a:ln>
          <a:effectLst/>
        </c:spPr>
        <c:txPr>
          <a:bodyPr rot="-2700000" spcFirstLastPara="1" vertOverflow="ellipsis" wrap="square" anchor="ctr" anchorCtr="1"/>
          <a:lstStyle/>
          <a:p>
            <a:pPr>
              <a:defRPr sz="11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66881103"/>
        <c:crosses val="autoZero"/>
        <c:auto val="1"/>
        <c:lblAlgn val="ctr"/>
        <c:lblOffset val="100"/>
        <c:noMultiLvlLbl val="0"/>
      </c:catAx>
      <c:valAx>
        <c:axId val="16688110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2486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[Digital Payment Fraud Detection-Project.xlsx]Pivot!International Payment</c:name>
    <c:fmtId val="13"/>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IN" sz="18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International Payment</a:t>
            </a:r>
          </a:p>
        </c:rich>
      </c:tx>
      <c:layout>
        <c:manualLayout>
          <c:xMode val="edge"/>
          <c:yMode val="edge"/>
          <c:x val="0.25659679501104787"/>
          <c:y val="3.5547389879408406E-2"/>
        </c:manualLayout>
      </c:layout>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manualLayout>
          <c:layoutTarget val="inner"/>
          <c:xMode val="edge"/>
          <c:yMode val="edge"/>
          <c:x val="0.29767558899576796"/>
          <c:y val="0.27044982278264718"/>
          <c:w val="0.42821784161094822"/>
          <c:h val="0.67220314296382011"/>
        </c:manualLayout>
      </c:layout>
      <c:barChart>
        <c:barDir val="bar"/>
        <c:grouping val="stacked"/>
        <c:varyColors val="0"/>
        <c:ser>
          <c:idx val="0"/>
          <c:order val="0"/>
          <c:tx>
            <c:strRef>
              <c:f>Pivot!$B$22</c:f>
              <c:strCache>
                <c:ptCount val="1"/>
                <c:pt idx="0">
                  <c:v>Total</c:v>
                </c:pt>
              </c:strCache>
            </c:strRef>
          </c:tx>
          <c:spPr>
            <a:solidFill>
              <a:schemeClr val="accent1"/>
            </a:solidFill>
            <a:ln>
              <a:noFill/>
            </a:ln>
            <a:effectLst/>
          </c:spPr>
          <c:invertIfNegative val="0"/>
          <c:dPt>
            <c:idx val="3"/>
            <c:invertIfNegative val="0"/>
            <c:bubble3D val="0"/>
            <c:spPr>
              <a:solidFill>
                <a:schemeClr val="accent1"/>
              </a:solidFill>
              <a:ln>
                <a:noFill/>
              </a:ln>
              <a:effectLst/>
            </c:spPr>
            <c:extLst>
              <c:ext xmlns:c16="http://schemas.microsoft.com/office/drawing/2014/chart" uri="{C3380CC4-5D6E-409C-BE32-E72D297353CC}">
                <c16:uniqueId val="{00000001-0AC7-45A3-A930-8F5F44BC21B9}"/>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Pivot!$A$23:$A$28</c:f>
              <c:strCache>
                <c:ptCount val="5"/>
                <c:pt idx="0">
                  <c:v>Bangalore</c:v>
                </c:pt>
                <c:pt idx="1">
                  <c:v>Chennai</c:v>
                </c:pt>
                <c:pt idx="2">
                  <c:v>Delhi</c:v>
                </c:pt>
                <c:pt idx="3">
                  <c:v>Hyderabad</c:v>
                </c:pt>
                <c:pt idx="4">
                  <c:v>Mumbai</c:v>
                </c:pt>
              </c:strCache>
            </c:strRef>
          </c:cat>
          <c:val>
            <c:numRef>
              <c:f>Pivot!$B$23:$B$28</c:f>
              <c:numCache>
                <c:formatCode>General</c:formatCode>
                <c:ptCount val="5"/>
                <c:pt idx="0">
                  <c:v>8</c:v>
                </c:pt>
                <c:pt idx="1">
                  <c:v>6</c:v>
                </c:pt>
                <c:pt idx="2">
                  <c:v>5</c:v>
                </c:pt>
                <c:pt idx="3">
                  <c:v>12</c:v>
                </c:pt>
                <c:pt idx="4">
                  <c:v>10</c:v>
                </c:pt>
              </c:numCache>
            </c:numRef>
          </c:val>
          <c:extLst>
            <c:ext xmlns:c16="http://schemas.microsoft.com/office/drawing/2014/chart" uri="{C3380CC4-5D6E-409C-BE32-E72D297353CC}">
              <c16:uniqueId val="{00000000-0AC7-45A3-A930-8F5F44BC21B9}"/>
            </c:ext>
          </c:extLst>
        </c:ser>
        <c:dLbls>
          <c:dLblPos val="ctr"/>
          <c:showLegendKey val="0"/>
          <c:showVal val="1"/>
          <c:showCatName val="0"/>
          <c:showSerName val="0"/>
          <c:showPercent val="0"/>
          <c:showBubbleSize val="0"/>
        </c:dLbls>
        <c:gapWidth val="150"/>
        <c:overlap val="100"/>
        <c:axId val="697778815"/>
        <c:axId val="697781215"/>
      </c:barChart>
      <c:catAx>
        <c:axId val="697778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697781215"/>
        <c:crosses val="autoZero"/>
        <c:auto val="1"/>
        <c:lblAlgn val="ctr"/>
        <c:lblOffset val="100"/>
        <c:noMultiLvlLbl val="0"/>
      </c:catAx>
      <c:valAx>
        <c:axId val="697781215"/>
        <c:scaling>
          <c:orientation val="minMax"/>
        </c:scaling>
        <c:delete val="1"/>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crossAx val="69777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525780</xdr:colOff>
      <xdr:row>0</xdr:row>
      <xdr:rowOff>0</xdr:rowOff>
    </xdr:from>
    <xdr:to>
      <xdr:col>25</xdr:col>
      <xdr:colOff>502920</xdr:colOff>
      <xdr:row>46</xdr:row>
      <xdr:rowOff>0</xdr:rowOff>
    </xdr:to>
    <xdr:sp macro="" textlink="">
      <xdr:nvSpPr>
        <xdr:cNvPr id="3" name="Rectangle 2">
          <a:extLst>
            <a:ext uri="{FF2B5EF4-FFF2-40B4-BE49-F238E27FC236}">
              <a16:creationId xmlns:a16="http://schemas.microsoft.com/office/drawing/2014/main" id="{533030CC-73F5-4C0B-BDCE-9B3B697AF74A}"/>
            </a:ext>
          </a:extLst>
        </xdr:cNvPr>
        <xdr:cNvSpPr/>
      </xdr:nvSpPr>
      <xdr:spPr>
        <a:xfrm>
          <a:off x="1853135" y="0"/>
          <a:ext cx="13316237" cy="8291871"/>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xdr:col>
      <xdr:colOff>525780</xdr:colOff>
      <xdr:row>46</xdr:row>
      <xdr:rowOff>16565</xdr:rowOff>
    </xdr:to>
    <xdr:sp macro="" textlink="">
      <xdr:nvSpPr>
        <xdr:cNvPr id="2" name="Rectangle 1">
          <a:extLst>
            <a:ext uri="{FF2B5EF4-FFF2-40B4-BE49-F238E27FC236}">
              <a16:creationId xmlns:a16="http://schemas.microsoft.com/office/drawing/2014/main" id="{70E6395A-E6DB-1A2F-F7CC-597305A7D246}"/>
            </a:ext>
          </a:extLst>
        </xdr:cNvPr>
        <xdr:cNvSpPr/>
      </xdr:nvSpPr>
      <xdr:spPr>
        <a:xfrm>
          <a:off x="0" y="0"/>
          <a:ext cx="1859280" cy="8398565"/>
        </a:xfrm>
        <a:prstGeom prst="rect">
          <a:avLst/>
        </a:prstGeom>
        <a:solidFill>
          <a:schemeClr val="accent4">
            <a:lumMod val="7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3</xdr:col>
      <xdr:colOff>567267</xdr:colOff>
      <xdr:row>1</xdr:row>
      <xdr:rowOff>0</xdr:rowOff>
    </xdr:from>
    <xdr:to>
      <xdr:col>25</xdr:col>
      <xdr:colOff>502920</xdr:colOff>
      <xdr:row>3</xdr:row>
      <xdr:rowOff>0</xdr:rowOff>
    </xdr:to>
    <xdr:sp macro="" textlink="">
      <xdr:nvSpPr>
        <xdr:cNvPr id="25" name="TextBox 24">
          <a:extLst>
            <a:ext uri="{FF2B5EF4-FFF2-40B4-BE49-F238E27FC236}">
              <a16:creationId xmlns:a16="http://schemas.microsoft.com/office/drawing/2014/main" id="{FAD03EA0-6D56-49A0-2D0F-E68E2F87FCAE}"/>
            </a:ext>
          </a:extLst>
        </xdr:cNvPr>
        <xdr:cNvSpPr txBox="1"/>
      </xdr:nvSpPr>
      <xdr:spPr>
        <a:xfrm>
          <a:off x="1900767" y="182880"/>
          <a:ext cx="13346853"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000" b="1">
              <a:solidFill>
                <a:schemeClr val="tx1"/>
              </a:solidFill>
              <a:latin typeface="Calibri" panose="020F0502020204030204" pitchFamily="34" charset="0"/>
              <a:ea typeface="Calibri" panose="020F0502020204030204" pitchFamily="34" charset="0"/>
              <a:cs typeface="Calibri" panose="020F0502020204030204" pitchFamily="34" charset="0"/>
            </a:rPr>
            <a:t>Digital Payment Fraud Analysis</a:t>
          </a:r>
        </a:p>
      </xdr:txBody>
    </xdr:sp>
    <xdr:clientData/>
  </xdr:twoCellAnchor>
  <xdr:twoCellAnchor>
    <xdr:from>
      <xdr:col>11</xdr:col>
      <xdr:colOff>0</xdr:colOff>
      <xdr:row>3</xdr:row>
      <xdr:rowOff>30481</xdr:rowOff>
    </xdr:from>
    <xdr:to>
      <xdr:col>25</xdr:col>
      <xdr:colOff>406400</xdr:colOff>
      <xdr:row>21</xdr:row>
      <xdr:rowOff>1</xdr:rowOff>
    </xdr:to>
    <xdr:graphicFrame macro="">
      <xdr:nvGraphicFramePr>
        <xdr:cNvPr id="29" name="Chart 28">
          <a:extLst>
            <a:ext uri="{FF2B5EF4-FFF2-40B4-BE49-F238E27FC236}">
              <a16:creationId xmlns:a16="http://schemas.microsoft.com/office/drawing/2014/main" id="{8F5E0FD4-888D-4575-927F-C640A1FC9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567267</xdr:colOff>
      <xdr:row>3</xdr:row>
      <xdr:rowOff>30481</xdr:rowOff>
    </xdr:from>
    <xdr:to>
      <xdr:col>10</xdr:col>
      <xdr:colOff>567267</xdr:colOff>
      <xdr:row>17</xdr:row>
      <xdr:rowOff>48717</xdr:rowOff>
    </xdr:to>
    <xdr:graphicFrame macro="">
      <xdr:nvGraphicFramePr>
        <xdr:cNvPr id="31" name="Chart 30">
          <a:extLst>
            <a:ext uri="{FF2B5EF4-FFF2-40B4-BE49-F238E27FC236}">
              <a16:creationId xmlns:a16="http://schemas.microsoft.com/office/drawing/2014/main" id="{478F6AFE-60BE-40FC-92B5-8B1561F53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559647</xdr:colOff>
      <xdr:row>17</xdr:row>
      <xdr:rowOff>93134</xdr:rowOff>
    </xdr:from>
    <xdr:to>
      <xdr:col>10</xdr:col>
      <xdr:colOff>559647</xdr:colOff>
      <xdr:row>31</xdr:row>
      <xdr:rowOff>111369</xdr:rowOff>
    </xdr:to>
    <xdr:graphicFrame macro="">
      <xdr:nvGraphicFramePr>
        <xdr:cNvPr id="32" name="Chart 31">
          <a:extLst>
            <a:ext uri="{FF2B5EF4-FFF2-40B4-BE49-F238E27FC236}">
              <a16:creationId xmlns:a16="http://schemas.microsoft.com/office/drawing/2014/main" id="{A30DF84F-35D6-4E8C-8B49-A4927D082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606321</xdr:colOff>
      <xdr:row>21</xdr:row>
      <xdr:rowOff>36626</xdr:rowOff>
    </xdr:from>
    <xdr:to>
      <xdr:col>25</xdr:col>
      <xdr:colOff>406399</xdr:colOff>
      <xdr:row>45</xdr:row>
      <xdr:rowOff>91226</xdr:rowOff>
    </xdr:to>
    <xdr:graphicFrame macro="">
      <xdr:nvGraphicFramePr>
        <xdr:cNvPr id="36" name="Chart 35">
          <a:extLst>
            <a:ext uri="{FF2B5EF4-FFF2-40B4-BE49-F238E27FC236}">
              <a16:creationId xmlns:a16="http://schemas.microsoft.com/office/drawing/2014/main" id="{2BE9A392-9971-46C3-B87B-FE010A0D5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559647</xdr:colOff>
      <xdr:row>32</xdr:row>
      <xdr:rowOff>0</xdr:rowOff>
    </xdr:from>
    <xdr:to>
      <xdr:col>10</xdr:col>
      <xdr:colOff>559647</xdr:colOff>
      <xdr:row>45</xdr:row>
      <xdr:rowOff>91226</xdr:rowOff>
    </xdr:to>
    <xdr:graphicFrame macro="">
      <xdr:nvGraphicFramePr>
        <xdr:cNvPr id="37" name="Chart 36">
          <a:extLst>
            <a:ext uri="{FF2B5EF4-FFF2-40B4-BE49-F238E27FC236}">
              <a16:creationId xmlns:a16="http://schemas.microsoft.com/office/drawing/2014/main" id="{F70BB6CA-1D70-4038-A77E-B564C85AC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30</xdr:row>
      <xdr:rowOff>123257</xdr:rowOff>
    </xdr:from>
    <xdr:to>
      <xdr:col>3</xdr:col>
      <xdr:colOff>501445</xdr:colOff>
      <xdr:row>37</xdr:row>
      <xdr:rowOff>123259</xdr:rowOff>
    </xdr:to>
    <mc:AlternateContent xmlns:mc="http://schemas.openxmlformats.org/markup-compatibility/2006" xmlns:a14="http://schemas.microsoft.com/office/drawing/2010/main">
      <mc:Choice Requires="a14">
        <xdr:graphicFrame macro="">
          <xdr:nvGraphicFramePr>
            <xdr:cNvPr id="38" name="device_location">
              <a:extLst>
                <a:ext uri="{FF2B5EF4-FFF2-40B4-BE49-F238E27FC236}">
                  <a16:creationId xmlns:a16="http://schemas.microsoft.com/office/drawing/2014/main" id="{7066A78A-2189-4AAB-A7E2-6CAA0BA96929}"/>
                </a:ext>
              </a:extLst>
            </xdr:cNvPr>
            <xdr:cNvGraphicFramePr/>
          </xdr:nvGraphicFramePr>
          <xdr:xfrm>
            <a:off x="0" y="0"/>
            <a:ext cx="0" cy="0"/>
          </xdr:xfrm>
          <a:graphic>
            <a:graphicData uri="http://schemas.microsoft.com/office/drawing/2010/slicer">
              <sle:slicer xmlns:sle="http://schemas.microsoft.com/office/drawing/2010/slicer" name="device_location"/>
            </a:graphicData>
          </a:graphic>
        </xdr:graphicFrame>
      </mc:Choice>
      <mc:Fallback xmlns="">
        <xdr:sp macro="" textlink="">
          <xdr:nvSpPr>
            <xdr:cNvPr id="0" name=""/>
            <xdr:cNvSpPr>
              <a:spLocks noTextEdit="1"/>
            </xdr:cNvSpPr>
          </xdr:nvSpPr>
          <xdr:spPr>
            <a:xfrm>
              <a:off x="0" y="5530999"/>
              <a:ext cx="1828800" cy="12618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38</xdr:row>
      <xdr:rowOff>182156</xdr:rowOff>
    </xdr:from>
    <xdr:to>
      <xdr:col>3</xdr:col>
      <xdr:colOff>501445</xdr:colOff>
      <xdr:row>44</xdr:row>
      <xdr:rowOff>165769</xdr:rowOff>
    </xdr:to>
    <mc:AlternateContent xmlns:mc="http://schemas.openxmlformats.org/markup-compatibility/2006" xmlns:a14="http://schemas.microsoft.com/office/drawing/2010/main">
      <mc:Choice Requires="a14">
        <xdr:graphicFrame macro="">
          <xdr:nvGraphicFramePr>
            <xdr:cNvPr id="39" name="payment_mode">
              <a:extLst>
                <a:ext uri="{FF2B5EF4-FFF2-40B4-BE49-F238E27FC236}">
                  <a16:creationId xmlns:a16="http://schemas.microsoft.com/office/drawing/2014/main" id="{3F689E4E-AEBE-4D7E-ABE6-63C223757146}"/>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0" y="7031962"/>
              <a:ext cx="1828800" cy="1065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424896</xdr:colOff>
      <xdr:row>11</xdr:row>
      <xdr:rowOff>121109</xdr:rowOff>
    </xdr:from>
    <xdr:to>
      <xdr:col>2</xdr:col>
      <xdr:colOff>77027</xdr:colOff>
      <xdr:row>13</xdr:row>
      <xdr:rowOff>71413</xdr:rowOff>
    </xdr:to>
    <xdr:sp macro="" textlink="Pivot!K8">
      <xdr:nvSpPr>
        <xdr:cNvPr id="4" name="TextBox 3">
          <a:extLst>
            <a:ext uri="{FF2B5EF4-FFF2-40B4-BE49-F238E27FC236}">
              <a16:creationId xmlns:a16="http://schemas.microsoft.com/office/drawing/2014/main" id="{5BE081CB-AB87-59D4-2212-4FD8BDA9F113}"/>
            </a:ext>
          </a:extLst>
        </xdr:cNvPr>
        <xdr:cNvSpPr txBox="1"/>
      </xdr:nvSpPr>
      <xdr:spPr>
        <a:xfrm>
          <a:off x="621541" y="2103948"/>
          <a:ext cx="586196" cy="310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2C7677-9DCC-4929-B0C3-E1FEC9C9BC98}" type="TxLink">
            <a:rPr lang="en-US" sz="1800" b="1" i="0" u="none" strike="noStrike">
              <a:solidFill>
                <a:schemeClr val="bg1"/>
              </a:solidFill>
              <a:latin typeface="Calibri"/>
              <a:ea typeface="Calibri"/>
              <a:cs typeface="Calibri"/>
            </a:rPr>
            <a:pPr algn="ctr"/>
            <a:t>489</a:t>
          </a:fld>
          <a:endParaRPr lang="en-IN" sz="1800" b="1">
            <a:solidFill>
              <a:schemeClr val="bg1"/>
            </a:solidFill>
          </a:endParaRPr>
        </a:p>
      </xdr:txBody>
    </xdr:sp>
    <xdr:clientData/>
  </xdr:twoCellAnchor>
  <xdr:twoCellAnchor>
    <xdr:from>
      <xdr:col>1</xdr:col>
      <xdr:colOff>248478</xdr:colOff>
      <xdr:row>14</xdr:row>
      <xdr:rowOff>111539</xdr:rowOff>
    </xdr:from>
    <xdr:to>
      <xdr:col>3</xdr:col>
      <xdr:colOff>137492</xdr:colOff>
      <xdr:row>16</xdr:row>
      <xdr:rowOff>61843</xdr:rowOff>
    </xdr:to>
    <xdr:sp macro="" textlink="Pivot!L8">
      <xdr:nvSpPr>
        <xdr:cNvPr id="6" name="TextBox 5">
          <a:extLst>
            <a:ext uri="{FF2B5EF4-FFF2-40B4-BE49-F238E27FC236}">
              <a16:creationId xmlns:a16="http://schemas.microsoft.com/office/drawing/2014/main" id="{4F99C986-AA0A-44F7-A152-733581E1E448}"/>
            </a:ext>
          </a:extLst>
        </xdr:cNvPr>
        <xdr:cNvSpPr txBox="1"/>
      </xdr:nvSpPr>
      <xdr:spPr>
        <a:xfrm>
          <a:off x="445123" y="2635152"/>
          <a:ext cx="1019724" cy="310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4AB2005-DEEB-496C-96BF-D344521ABF6E}" type="TxLink">
            <a:rPr lang="en-US" sz="1800" b="1" i="0" u="none" strike="noStrike">
              <a:solidFill>
                <a:schemeClr val="bg1"/>
              </a:solidFill>
              <a:latin typeface="Calibri"/>
              <a:ea typeface="Calibri"/>
              <a:cs typeface="Calibri"/>
            </a:rPr>
            <a:pPr marL="0" indent="0" algn="ctr"/>
            <a:t>50.41%</a:t>
          </a:fld>
          <a:endParaRPr lang="en-IN" sz="1800" b="1" i="0" u="none" strike="noStrike">
            <a:solidFill>
              <a:schemeClr val="bg1"/>
            </a:solidFill>
            <a:latin typeface="Calibri"/>
            <a:ea typeface="Calibri"/>
            <a:cs typeface="Calibri"/>
          </a:endParaRPr>
        </a:p>
      </xdr:txBody>
    </xdr:sp>
    <xdr:clientData/>
  </xdr:twoCellAnchor>
  <xdr:twoCellAnchor>
    <xdr:from>
      <xdr:col>1</xdr:col>
      <xdr:colOff>75370</xdr:colOff>
      <xdr:row>18</xdr:row>
      <xdr:rowOff>55584</xdr:rowOff>
    </xdr:from>
    <xdr:to>
      <xdr:col>3</xdr:col>
      <xdr:colOff>393424</xdr:colOff>
      <xdr:row>20</xdr:row>
      <xdr:rowOff>5888</xdr:rowOff>
    </xdr:to>
    <xdr:sp macro="" textlink="Pivot!M8">
      <xdr:nvSpPr>
        <xdr:cNvPr id="7" name="TextBox 6">
          <a:extLst>
            <a:ext uri="{FF2B5EF4-FFF2-40B4-BE49-F238E27FC236}">
              <a16:creationId xmlns:a16="http://schemas.microsoft.com/office/drawing/2014/main" id="{947321CB-07C2-4D49-BD3F-724574D6BD9C}"/>
            </a:ext>
          </a:extLst>
        </xdr:cNvPr>
        <xdr:cNvSpPr txBox="1"/>
      </xdr:nvSpPr>
      <xdr:spPr>
        <a:xfrm>
          <a:off x="272015" y="3300229"/>
          <a:ext cx="1448764" cy="310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DA826E9-B19D-4CC3-B49F-6F69C213BF25}" type="TxLink">
            <a:rPr lang="en-US" sz="1800" b="1" i="0" u="none" strike="noStrike">
              <a:solidFill>
                <a:schemeClr val="bg1"/>
              </a:solidFill>
              <a:latin typeface="Calibri"/>
              <a:ea typeface="Calibri"/>
              <a:cs typeface="Calibri"/>
            </a:rPr>
            <a:pPr marL="0" indent="0" algn="ctr"/>
            <a:t>1,18,61,287</a:t>
          </a:fld>
          <a:endParaRPr lang="en-IN" sz="1800" b="1" i="0" u="none" strike="noStrike">
            <a:solidFill>
              <a:schemeClr val="bg1"/>
            </a:solidFill>
            <a:latin typeface="Calibri"/>
            <a:ea typeface="Calibri"/>
            <a:cs typeface="Calibri"/>
          </a:endParaRPr>
        </a:p>
      </xdr:txBody>
    </xdr:sp>
    <xdr:clientData/>
  </xdr:twoCellAnchor>
  <xdr:twoCellAnchor>
    <xdr:from>
      <xdr:col>1</xdr:col>
      <xdr:colOff>334615</xdr:colOff>
      <xdr:row>23</xdr:row>
      <xdr:rowOff>55122</xdr:rowOff>
    </xdr:from>
    <xdr:to>
      <xdr:col>3</xdr:col>
      <xdr:colOff>132521</xdr:colOff>
      <xdr:row>25</xdr:row>
      <xdr:rowOff>5426</xdr:rowOff>
    </xdr:to>
    <xdr:sp macro="" textlink="Pivot!N8">
      <xdr:nvSpPr>
        <xdr:cNvPr id="8" name="TextBox 7">
          <a:extLst>
            <a:ext uri="{FF2B5EF4-FFF2-40B4-BE49-F238E27FC236}">
              <a16:creationId xmlns:a16="http://schemas.microsoft.com/office/drawing/2014/main" id="{826A2CB9-38B1-4B1E-AA0F-778C7E0394B0}"/>
            </a:ext>
          </a:extLst>
        </xdr:cNvPr>
        <xdr:cNvSpPr txBox="1"/>
      </xdr:nvSpPr>
      <xdr:spPr>
        <a:xfrm>
          <a:off x="531260" y="4201057"/>
          <a:ext cx="928616" cy="310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EE52210-2352-4E49-8BAB-252BD58A8246}" type="TxLink">
            <a:rPr lang="en-US" sz="1800" b="1" i="0" u="none" strike="noStrike">
              <a:solidFill>
                <a:schemeClr val="bg1"/>
              </a:solidFill>
              <a:latin typeface="Calibri"/>
              <a:ea typeface="Calibri"/>
              <a:cs typeface="Calibri"/>
            </a:rPr>
            <a:pPr marL="0" indent="0" algn="ctr"/>
            <a:t>15,310</a:t>
          </a:fld>
          <a:endParaRPr lang="en-IN" sz="1800" b="1" i="0" u="none" strike="noStrike">
            <a:solidFill>
              <a:schemeClr val="bg1"/>
            </a:solidFill>
            <a:latin typeface="Calibri"/>
            <a:ea typeface="Calibri"/>
            <a:cs typeface="Calibri"/>
          </a:endParaRPr>
        </a:p>
      </xdr:txBody>
    </xdr:sp>
    <xdr:clientData/>
  </xdr:twoCellAnchor>
  <xdr:twoCellAnchor>
    <xdr:from>
      <xdr:col>1</xdr:col>
      <xdr:colOff>257586</xdr:colOff>
      <xdr:row>27</xdr:row>
      <xdr:rowOff>170620</xdr:rowOff>
    </xdr:from>
    <xdr:to>
      <xdr:col>3</xdr:col>
      <xdr:colOff>41412</xdr:colOff>
      <xdr:row>29</xdr:row>
      <xdr:rowOff>120925</xdr:rowOff>
    </xdr:to>
    <xdr:sp macro="" textlink="Pivot!O8">
      <xdr:nvSpPr>
        <xdr:cNvPr id="9" name="TextBox 8">
          <a:extLst>
            <a:ext uri="{FF2B5EF4-FFF2-40B4-BE49-F238E27FC236}">
              <a16:creationId xmlns:a16="http://schemas.microsoft.com/office/drawing/2014/main" id="{8C53EB26-8E78-4584-8FAA-906FC7865ECF}"/>
            </a:ext>
          </a:extLst>
        </xdr:cNvPr>
        <xdr:cNvSpPr txBox="1"/>
      </xdr:nvSpPr>
      <xdr:spPr>
        <a:xfrm>
          <a:off x="454231" y="5037588"/>
          <a:ext cx="914536" cy="310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E8E7E27-E2BA-4ADD-90F8-6130E6338FA4}" type="TxLink">
            <a:rPr lang="en-US" sz="1800" b="1" i="0" u="none" strike="noStrike">
              <a:solidFill>
                <a:schemeClr val="bg1"/>
              </a:solidFill>
              <a:latin typeface="Calibri"/>
              <a:ea typeface="Calibri"/>
              <a:cs typeface="Calibri"/>
            </a:rPr>
            <a:pPr marL="0" indent="0" algn="ctr"/>
            <a:t>24,256</a:t>
          </a:fld>
          <a:endParaRPr lang="en-IN" sz="1800" b="1" i="0" u="none" strike="noStrike">
            <a:solidFill>
              <a:schemeClr val="bg1"/>
            </a:solidFill>
            <a:latin typeface="Calibri"/>
            <a:ea typeface="Calibri"/>
            <a:cs typeface="Calibri"/>
          </a:endParaRPr>
        </a:p>
      </xdr:txBody>
    </xdr:sp>
    <xdr:clientData/>
  </xdr:twoCellAnchor>
  <xdr:twoCellAnchor>
    <xdr:from>
      <xdr:col>1</xdr:col>
      <xdr:colOff>267618</xdr:colOff>
      <xdr:row>10</xdr:row>
      <xdr:rowOff>82828</xdr:rowOff>
    </xdr:from>
    <xdr:to>
      <xdr:col>3</xdr:col>
      <xdr:colOff>190591</xdr:colOff>
      <xdr:row>12</xdr:row>
      <xdr:rowOff>24850</xdr:rowOff>
    </xdr:to>
    <xdr:sp macro="" textlink="">
      <xdr:nvSpPr>
        <xdr:cNvPr id="10" name="TextBox 9">
          <a:extLst>
            <a:ext uri="{FF2B5EF4-FFF2-40B4-BE49-F238E27FC236}">
              <a16:creationId xmlns:a16="http://schemas.microsoft.com/office/drawing/2014/main" id="{7F6E45A6-1D6D-41C3-4DE0-3D676F6E0429}"/>
            </a:ext>
          </a:extLst>
        </xdr:cNvPr>
        <xdr:cNvSpPr txBox="1"/>
      </xdr:nvSpPr>
      <xdr:spPr>
        <a:xfrm>
          <a:off x="464263" y="1885409"/>
          <a:ext cx="1053683" cy="302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latin typeface="Calibri" panose="020F0502020204030204" pitchFamily="34" charset="0"/>
              <a:ea typeface="Calibri" panose="020F0502020204030204" pitchFamily="34" charset="0"/>
              <a:cs typeface="Calibri" panose="020F0502020204030204" pitchFamily="34" charset="0"/>
            </a:rPr>
            <a:t>Total Fraud </a:t>
          </a:r>
        </a:p>
      </xdr:txBody>
    </xdr:sp>
    <xdr:clientData/>
  </xdr:twoCellAnchor>
  <xdr:twoCellAnchor>
    <xdr:from>
      <xdr:col>0</xdr:col>
      <xdr:colOff>132611</xdr:colOff>
      <xdr:row>13</xdr:row>
      <xdr:rowOff>68287</xdr:rowOff>
    </xdr:from>
    <xdr:to>
      <xdr:col>3</xdr:col>
      <xdr:colOff>571590</xdr:colOff>
      <xdr:row>15</xdr:row>
      <xdr:rowOff>31844</xdr:rowOff>
    </xdr:to>
    <xdr:sp macro="" textlink="">
      <xdr:nvSpPr>
        <xdr:cNvPr id="11" name="TextBox 10">
          <a:extLst>
            <a:ext uri="{FF2B5EF4-FFF2-40B4-BE49-F238E27FC236}">
              <a16:creationId xmlns:a16="http://schemas.microsoft.com/office/drawing/2014/main" id="{0A223193-FC2F-4887-B85A-2F90D1381B85}"/>
            </a:ext>
          </a:extLst>
        </xdr:cNvPr>
        <xdr:cNvSpPr txBox="1"/>
      </xdr:nvSpPr>
      <xdr:spPr>
        <a:xfrm>
          <a:off x="132611" y="2411642"/>
          <a:ext cx="1766334" cy="324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Calibri" panose="020F0502020204030204" pitchFamily="34" charset="0"/>
              <a:ea typeface="Calibri" panose="020F0502020204030204" pitchFamily="34" charset="0"/>
              <a:cs typeface="Calibri" panose="020F0502020204030204" pitchFamily="34" charset="0"/>
            </a:rPr>
            <a:t>Fraud Percentage (%)</a:t>
          </a:r>
          <a:r>
            <a:rPr lang="en-IN" sz="1400" b="1">
              <a:solidFill>
                <a:schemeClr val="bg1"/>
              </a:solidFill>
              <a:latin typeface="Calibri" panose="020F0502020204030204" pitchFamily="34" charset="0"/>
              <a:ea typeface="Calibri" panose="020F0502020204030204" pitchFamily="34" charset="0"/>
              <a:cs typeface="Calibri" panose="020F0502020204030204" pitchFamily="34" charset="0"/>
            </a:rPr>
            <a:t> </a:t>
          </a:r>
        </a:p>
      </xdr:txBody>
    </xdr:sp>
    <xdr:clientData/>
  </xdr:twoCellAnchor>
  <xdr:twoCellAnchor editAs="oneCell">
    <xdr:from>
      <xdr:col>0</xdr:col>
      <xdr:colOff>19301</xdr:colOff>
      <xdr:row>13</xdr:row>
      <xdr:rowOff>121994</xdr:rowOff>
    </xdr:from>
    <xdr:to>
      <xdr:col>1</xdr:col>
      <xdr:colOff>38679</xdr:colOff>
      <xdr:row>14</xdr:row>
      <xdr:rowOff>157955</xdr:rowOff>
    </xdr:to>
    <xdr:pic>
      <xdr:nvPicPr>
        <xdr:cNvPr id="12" name="Picture 11">
          <a:extLst>
            <a:ext uri="{FF2B5EF4-FFF2-40B4-BE49-F238E27FC236}">
              <a16:creationId xmlns:a16="http://schemas.microsoft.com/office/drawing/2014/main" id="{52AEDC69-AB48-A2A1-E645-7479D698C255}"/>
            </a:ext>
          </a:extLst>
        </xdr:cNvPr>
        <xdr:cNvPicPr>
          <a:picLocks noChangeAspect="1"/>
        </xdr:cNvPicPr>
      </xdr:nvPicPr>
      <xdr:blipFill>
        <a:blip xmlns:r="http://schemas.openxmlformats.org/officeDocument/2006/relationships" r:embed="rId6"/>
        <a:stretch>
          <a:fillRect/>
        </a:stretch>
      </xdr:blipFill>
      <xdr:spPr>
        <a:xfrm>
          <a:off x="19301" y="2516851"/>
          <a:ext cx="220345" cy="220181"/>
        </a:xfrm>
        <a:prstGeom prst="rect">
          <a:avLst/>
        </a:prstGeom>
      </xdr:spPr>
    </xdr:pic>
    <xdr:clientData/>
  </xdr:twoCellAnchor>
  <xdr:twoCellAnchor>
    <xdr:from>
      <xdr:col>0</xdr:col>
      <xdr:colOff>190935</xdr:colOff>
      <xdr:row>16</xdr:row>
      <xdr:rowOff>132525</xdr:rowOff>
    </xdr:from>
    <xdr:to>
      <xdr:col>3</xdr:col>
      <xdr:colOff>530177</xdr:colOff>
      <xdr:row>19</xdr:row>
      <xdr:rowOff>33133</xdr:rowOff>
    </xdr:to>
    <xdr:sp macro="" textlink="">
      <xdr:nvSpPr>
        <xdr:cNvPr id="13" name="TextBox 12">
          <a:extLst>
            <a:ext uri="{FF2B5EF4-FFF2-40B4-BE49-F238E27FC236}">
              <a16:creationId xmlns:a16="http://schemas.microsoft.com/office/drawing/2014/main" id="{3693522A-BCB5-47A5-B509-7C93045E4111}"/>
            </a:ext>
          </a:extLst>
        </xdr:cNvPr>
        <xdr:cNvSpPr txBox="1"/>
      </xdr:nvSpPr>
      <xdr:spPr>
        <a:xfrm>
          <a:off x="190935" y="3016654"/>
          <a:ext cx="1666597" cy="44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Calibri" panose="020F0502020204030204" pitchFamily="34" charset="0"/>
              <a:ea typeface="Calibri" panose="020F0502020204030204" pitchFamily="34" charset="0"/>
              <a:cs typeface="Calibri" panose="020F0502020204030204" pitchFamily="34" charset="0"/>
            </a:rPr>
            <a:t>Total Fraud Amount</a:t>
          </a:r>
        </a:p>
        <a:p>
          <a:pPr algn="ctr"/>
          <a:endParaRPr lang="en-IN"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0</xdr:col>
      <xdr:colOff>63727</xdr:colOff>
      <xdr:row>17</xdr:row>
      <xdr:rowOff>55543</xdr:rowOff>
    </xdr:from>
    <xdr:to>
      <xdr:col>1</xdr:col>
      <xdr:colOff>68601</xdr:colOff>
      <xdr:row>18</xdr:row>
      <xdr:rowOff>76983</xdr:rowOff>
    </xdr:to>
    <xdr:pic>
      <xdr:nvPicPr>
        <xdr:cNvPr id="14" name="Picture 13">
          <a:extLst>
            <a:ext uri="{FF2B5EF4-FFF2-40B4-BE49-F238E27FC236}">
              <a16:creationId xmlns:a16="http://schemas.microsoft.com/office/drawing/2014/main" id="{9AB93B56-C76A-788F-7623-6CE20697FC2B}"/>
            </a:ext>
          </a:extLst>
        </xdr:cNvPr>
        <xdr:cNvPicPr>
          <a:picLocks noChangeAspect="1"/>
        </xdr:cNvPicPr>
      </xdr:nvPicPr>
      <xdr:blipFill>
        <a:blip xmlns:r="http://schemas.openxmlformats.org/officeDocument/2006/relationships" r:embed="rId7"/>
        <a:stretch>
          <a:fillRect/>
        </a:stretch>
      </xdr:blipFill>
      <xdr:spPr>
        <a:xfrm>
          <a:off x="63727" y="3187279"/>
          <a:ext cx="205841" cy="205660"/>
        </a:xfrm>
        <a:prstGeom prst="rect">
          <a:avLst/>
        </a:prstGeom>
      </xdr:spPr>
    </xdr:pic>
    <xdr:clientData/>
  </xdr:twoCellAnchor>
  <xdr:twoCellAnchor>
    <xdr:from>
      <xdr:col>0</xdr:col>
      <xdr:colOff>189279</xdr:colOff>
      <xdr:row>20</xdr:row>
      <xdr:rowOff>135283</xdr:rowOff>
    </xdr:from>
    <xdr:to>
      <xdr:col>3</xdr:col>
      <xdr:colOff>563307</xdr:colOff>
      <xdr:row>23</xdr:row>
      <xdr:rowOff>165928</xdr:rowOff>
    </xdr:to>
    <xdr:sp macro="" textlink="">
      <xdr:nvSpPr>
        <xdr:cNvPr id="15" name="TextBox 14">
          <a:extLst>
            <a:ext uri="{FF2B5EF4-FFF2-40B4-BE49-F238E27FC236}">
              <a16:creationId xmlns:a16="http://schemas.microsoft.com/office/drawing/2014/main" id="{6E075ED6-A248-4E4E-9D01-FF5F99D58702}"/>
            </a:ext>
          </a:extLst>
        </xdr:cNvPr>
        <xdr:cNvSpPr txBox="1"/>
      </xdr:nvSpPr>
      <xdr:spPr>
        <a:xfrm>
          <a:off x="189279" y="3740444"/>
          <a:ext cx="1701383" cy="571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Calibri" panose="020F0502020204030204" pitchFamily="34" charset="0"/>
              <a:ea typeface="Calibri" panose="020F0502020204030204" pitchFamily="34" charset="0"/>
              <a:cs typeface="Calibri" panose="020F0502020204030204" pitchFamily="34" charset="0"/>
            </a:rPr>
            <a:t>Average Transaction</a:t>
          </a:r>
          <a:r>
            <a:rPr lang="en-US" sz="1400" b="1" baseline="0">
              <a:solidFill>
                <a:schemeClr val="bg1"/>
              </a:solidFill>
              <a:latin typeface="Calibri" panose="020F0502020204030204" pitchFamily="34" charset="0"/>
              <a:ea typeface="Calibri" panose="020F0502020204030204" pitchFamily="34" charset="0"/>
              <a:cs typeface="Calibri" panose="020F0502020204030204" pitchFamily="34" charset="0"/>
            </a:rPr>
            <a:t> Amt</a:t>
          </a:r>
          <a:r>
            <a:rPr lang="en-US" sz="1400" b="1">
              <a:solidFill>
                <a:schemeClr val="bg1"/>
              </a:solidFill>
              <a:latin typeface="Calibri" panose="020F0502020204030204" pitchFamily="34" charset="0"/>
              <a:ea typeface="Calibri" panose="020F0502020204030204" pitchFamily="34" charset="0"/>
              <a:cs typeface="Calibri" panose="020F0502020204030204" pitchFamily="34" charset="0"/>
            </a:rPr>
            <a:t> (Normal)</a:t>
          </a:r>
          <a:endParaRPr lang="en-IN"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0</xdr:col>
      <xdr:colOff>28612</xdr:colOff>
      <xdr:row>21</xdr:row>
      <xdr:rowOff>3790</xdr:rowOff>
    </xdr:from>
    <xdr:to>
      <xdr:col>1</xdr:col>
      <xdr:colOff>70777</xdr:colOff>
      <xdr:row>22</xdr:row>
      <xdr:rowOff>62520</xdr:rowOff>
    </xdr:to>
    <xdr:pic>
      <xdr:nvPicPr>
        <xdr:cNvPr id="16" name="Picture 15">
          <a:extLst>
            <a:ext uri="{FF2B5EF4-FFF2-40B4-BE49-F238E27FC236}">
              <a16:creationId xmlns:a16="http://schemas.microsoft.com/office/drawing/2014/main" id="{79453860-5933-6FF5-59F5-E10985C4C1FA}"/>
            </a:ext>
          </a:extLst>
        </xdr:cNvPr>
        <xdr:cNvPicPr>
          <a:picLocks noChangeAspect="1"/>
        </xdr:cNvPicPr>
      </xdr:nvPicPr>
      <xdr:blipFill>
        <a:blip xmlns:r="http://schemas.openxmlformats.org/officeDocument/2006/relationships" r:embed="rId8"/>
        <a:stretch>
          <a:fillRect/>
        </a:stretch>
      </xdr:blipFill>
      <xdr:spPr>
        <a:xfrm>
          <a:off x="28612" y="3830355"/>
          <a:ext cx="240948" cy="240948"/>
        </a:xfrm>
        <a:prstGeom prst="rect">
          <a:avLst/>
        </a:prstGeom>
      </xdr:spPr>
    </xdr:pic>
    <xdr:clientData/>
  </xdr:twoCellAnchor>
  <xdr:twoCellAnchor>
    <xdr:from>
      <xdr:col>1</xdr:col>
      <xdr:colOff>918</xdr:colOff>
      <xdr:row>25</xdr:row>
      <xdr:rowOff>68560</xdr:rowOff>
    </xdr:from>
    <xdr:to>
      <xdr:col>3</xdr:col>
      <xdr:colOff>596439</xdr:colOff>
      <xdr:row>28</xdr:row>
      <xdr:rowOff>99205</xdr:rowOff>
    </xdr:to>
    <xdr:sp macro="" textlink="">
      <xdr:nvSpPr>
        <xdr:cNvPr id="17" name="TextBox 16">
          <a:extLst>
            <a:ext uri="{FF2B5EF4-FFF2-40B4-BE49-F238E27FC236}">
              <a16:creationId xmlns:a16="http://schemas.microsoft.com/office/drawing/2014/main" id="{87C6D85B-CF24-4444-B03A-D420B289BD4F}"/>
            </a:ext>
          </a:extLst>
        </xdr:cNvPr>
        <xdr:cNvSpPr txBox="1"/>
      </xdr:nvSpPr>
      <xdr:spPr>
        <a:xfrm>
          <a:off x="197563" y="4575012"/>
          <a:ext cx="1726231" cy="571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alibri" panose="020F0502020204030204" pitchFamily="34" charset="0"/>
              <a:ea typeface="Calibri" panose="020F0502020204030204" pitchFamily="34" charset="0"/>
              <a:cs typeface="Calibri" panose="020F0502020204030204" pitchFamily="34" charset="0"/>
            </a:rPr>
            <a:t>Average Transaction</a:t>
          </a:r>
          <a:r>
            <a:rPr lang="en-US" sz="1400" b="1" baseline="0">
              <a:solidFill>
                <a:schemeClr val="bg1"/>
              </a:solidFill>
              <a:latin typeface="Calibri" panose="020F0502020204030204" pitchFamily="34" charset="0"/>
              <a:ea typeface="Calibri" panose="020F0502020204030204" pitchFamily="34" charset="0"/>
              <a:cs typeface="Calibri" panose="020F0502020204030204" pitchFamily="34" charset="0"/>
            </a:rPr>
            <a:t> Amt</a:t>
          </a:r>
          <a:r>
            <a:rPr lang="en-US" sz="1400" b="1">
              <a:solidFill>
                <a:schemeClr val="bg1"/>
              </a:solidFill>
              <a:latin typeface="Calibri" panose="020F0502020204030204" pitchFamily="34" charset="0"/>
              <a:ea typeface="Calibri" panose="020F0502020204030204" pitchFamily="34" charset="0"/>
              <a:cs typeface="Calibri" panose="020F0502020204030204" pitchFamily="34" charset="0"/>
            </a:rPr>
            <a:t> (Fraudulent)</a:t>
          </a:r>
          <a:endParaRPr lang="en-IN"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0</xdr:col>
      <xdr:colOff>24849</xdr:colOff>
      <xdr:row>25</xdr:row>
      <xdr:rowOff>115940</xdr:rowOff>
    </xdr:from>
    <xdr:to>
      <xdr:col>1</xdr:col>
      <xdr:colOff>67014</xdr:colOff>
      <xdr:row>26</xdr:row>
      <xdr:rowOff>174671</xdr:rowOff>
    </xdr:to>
    <xdr:pic>
      <xdr:nvPicPr>
        <xdr:cNvPr id="18" name="Picture 17">
          <a:extLst>
            <a:ext uri="{FF2B5EF4-FFF2-40B4-BE49-F238E27FC236}">
              <a16:creationId xmlns:a16="http://schemas.microsoft.com/office/drawing/2014/main" id="{CC9A5A33-38E0-43A3-80DA-3FDFFE7A56A3}"/>
            </a:ext>
          </a:extLst>
        </xdr:cNvPr>
        <xdr:cNvPicPr>
          <a:picLocks noChangeAspect="1"/>
        </xdr:cNvPicPr>
      </xdr:nvPicPr>
      <xdr:blipFill>
        <a:blip xmlns:r="http://schemas.openxmlformats.org/officeDocument/2006/relationships" r:embed="rId8"/>
        <a:stretch>
          <a:fillRect/>
        </a:stretch>
      </xdr:blipFill>
      <xdr:spPr>
        <a:xfrm>
          <a:off x="24849" y="4671375"/>
          <a:ext cx="240948" cy="240948"/>
        </a:xfrm>
        <a:prstGeom prst="rect">
          <a:avLst/>
        </a:prstGeom>
      </xdr:spPr>
    </xdr:pic>
    <xdr:clientData/>
  </xdr:twoCellAnchor>
  <xdr:twoCellAnchor editAs="oneCell">
    <xdr:from>
      <xdr:col>1</xdr:col>
      <xdr:colOff>138608</xdr:colOff>
      <xdr:row>10</xdr:row>
      <xdr:rowOff>128261</xdr:rowOff>
    </xdr:from>
    <xdr:to>
      <xdr:col>1</xdr:col>
      <xdr:colOff>366629</xdr:colOff>
      <xdr:row>11</xdr:row>
      <xdr:rowOff>137499</xdr:rowOff>
    </xdr:to>
    <xdr:pic>
      <xdr:nvPicPr>
        <xdr:cNvPr id="19" name="Picture 18">
          <a:extLst>
            <a:ext uri="{FF2B5EF4-FFF2-40B4-BE49-F238E27FC236}">
              <a16:creationId xmlns:a16="http://schemas.microsoft.com/office/drawing/2014/main" id="{C326A68F-395A-0926-F0AE-40B75F1BD459}"/>
            </a:ext>
          </a:extLst>
        </xdr:cNvPr>
        <xdr:cNvPicPr>
          <a:picLocks noChangeAspect="1"/>
        </xdr:cNvPicPr>
      </xdr:nvPicPr>
      <xdr:blipFill>
        <a:blip xmlns:r="http://schemas.openxmlformats.org/officeDocument/2006/relationships" r:embed="rId9"/>
        <a:stretch>
          <a:fillRect/>
        </a:stretch>
      </xdr:blipFill>
      <xdr:spPr>
        <a:xfrm>
          <a:off x="339575" y="1970459"/>
          <a:ext cx="228021" cy="193458"/>
        </a:xfrm>
        <a:prstGeom prst="rect">
          <a:avLst/>
        </a:prstGeom>
      </xdr:spPr>
    </xdr:pic>
    <xdr:clientData/>
  </xdr:twoCellAnchor>
  <xdr:twoCellAnchor editAs="oneCell">
    <xdr:from>
      <xdr:col>1</xdr:col>
      <xdr:colOff>84992</xdr:colOff>
      <xdr:row>2</xdr:row>
      <xdr:rowOff>18006</xdr:rowOff>
    </xdr:from>
    <xdr:to>
      <xdr:col>3</xdr:col>
      <xdr:colOff>392305</xdr:colOff>
      <xdr:row>9</xdr:row>
      <xdr:rowOff>174594</xdr:rowOff>
    </xdr:to>
    <xdr:pic>
      <xdr:nvPicPr>
        <xdr:cNvPr id="20" name="Picture 19">
          <a:extLst>
            <a:ext uri="{FF2B5EF4-FFF2-40B4-BE49-F238E27FC236}">
              <a16:creationId xmlns:a16="http://schemas.microsoft.com/office/drawing/2014/main" id="{DBD5446F-6A08-2826-F970-CB850D4637EC}"/>
            </a:ext>
          </a:extLst>
        </xdr:cNvPr>
        <xdr:cNvPicPr>
          <a:picLocks noChangeAspect="1"/>
        </xdr:cNvPicPr>
      </xdr:nvPicPr>
      <xdr:blipFill>
        <a:blip xmlns:r="http://schemas.openxmlformats.org/officeDocument/2006/relationships" r:embed="rId10"/>
        <a:stretch>
          <a:fillRect/>
        </a:stretch>
      </xdr:blipFill>
      <xdr:spPr>
        <a:xfrm>
          <a:off x="285959" y="386446"/>
          <a:ext cx="1446126" cy="1446126"/>
        </a:xfrm>
        <a:prstGeom prst="rect">
          <a:avLst/>
        </a:prstGeom>
      </xdr:spPr>
    </xdr:pic>
    <xdr:clientData/>
  </xdr:twoCellAnchor>
  <xdr:twoCellAnchor editAs="oneCell">
    <xdr:from>
      <xdr:col>9</xdr:col>
      <xdr:colOff>548656</xdr:colOff>
      <xdr:row>0</xdr:row>
      <xdr:rowOff>106575</xdr:rowOff>
    </xdr:from>
    <xdr:to>
      <xdr:col>10</xdr:col>
      <xdr:colOff>475491</xdr:colOff>
      <xdr:row>3</xdr:row>
      <xdr:rowOff>92657</xdr:rowOff>
    </xdr:to>
    <xdr:pic>
      <xdr:nvPicPr>
        <xdr:cNvPr id="22" name="Picture 21">
          <a:extLst>
            <a:ext uri="{FF2B5EF4-FFF2-40B4-BE49-F238E27FC236}">
              <a16:creationId xmlns:a16="http://schemas.microsoft.com/office/drawing/2014/main" id="{226A4C66-274C-964E-4AAC-10AC758FD63C}"/>
            </a:ext>
          </a:extLst>
        </xdr:cNvPr>
        <xdr:cNvPicPr>
          <a:picLocks noChangeAspect="1"/>
        </xdr:cNvPicPr>
      </xdr:nvPicPr>
      <xdr:blipFill>
        <a:blip xmlns:r="http://schemas.openxmlformats.org/officeDocument/2006/relationships" r:embed="rId11"/>
        <a:stretch>
          <a:fillRect/>
        </a:stretch>
      </xdr:blipFill>
      <xdr:spPr>
        <a:xfrm>
          <a:off x="5513946" y="106575"/>
          <a:ext cx="533158" cy="52685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shboar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L" refreshedDate="46083.853341550923" createdVersion="8" refreshedVersion="8" minRefreshableVersion="3" recordCount="970" xr:uid="{96F71B28-4220-4CD9-8248-358C655AF6C9}">
  <cacheSource type="worksheet">
    <worksheetSource ref="A1:O971" sheet="Data" r:id="rId2"/>
  </cacheSource>
  <cacheFields count="15">
    <cacheField name="transaction_id" numFmtId="0">
      <sharedItems/>
    </cacheField>
    <cacheField name="user_id" numFmtId="0">
      <sharedItems/>
    </cacheField>
    <cacheField name="transaction_amount" numFmtId="4">
      <sharedItems containsSemiMixedTypes="0" containsString="0" containsNumber="1" minValue="245.72" maxValue="49985.9"/>
    </cacheField>
    <cacheField name="transaction_type" numFmtId="0">
      <sharedItems/>
    </cacheField>
    <cacheField name="payment_mode" numFmtId="0">
      <sharedItems/>
    </cacheField>
    <cacheField name="device_type" numFmtId="0">
      <sharedItems/>
    </cacheField>
    <cacheField name="device_location" numFmtId="0">
      <sharedItems/>
    </cacheField>
    <cacheField name="account_age_days" numFmtId="0">
      <sharedItems containsSemiMixedTypes="0" containsString="0" containsNumber="1" containsInteger="1" minValue="10" maxValue="1999"/>
    </cacheField>
    <cacheField name="transaction_hour" numFmtId="0">
      <sharedItems containsSemiMixedTypes="0" containsString="0" containsNumber="1" containsInteger="1" minValue="0" maxValue="23" count="24">
        <n v="14"/>
        <n v="21"/>
        <n v="8"/>
        <n v="1"/>
        <n v="4"/>
        <n v="20"/>
        <n v="22"/>
        <n v="11"/>
        <n v="9"/>
        <n v="3"/>
        <n v="17"/>
        <n v="23"/>
        <n v="12"/>
        <n v="2"/>
        <n v="10"/>
        <n v="0"/>
        <n v="15"/>
        <n v="13"/>
        <n v="5"/>
        <n v="7"/>
        <n v="19"/>
        <n v="16"/>
        <n v="6"/>
        <n v="18"/>
      </sharedItems>
    </cacheField>
    <cacheField name="previous_failed_attempts" numFmtId="0">
      <sharedItems containsSemiMixedTypes="0" containsString="0" containsNumber="1" containsInteger="1" minValue="0" maxValue="4"/>
    </cacheField>
    <cacheField name="avg_transaction_amount" numFmtId="4">
      <sharedItems containsSemiMixedTypes="0" containsString="0" containsNumber="1" minValue="249.26" maxValue="29963.03"/>
    </cacheField>
    <cacheField name="is_international" numFmtId="0">
      <sharedItems containsSemiMixedTypes="0" containsString="0" containsNumber="1" containsInteger="1" minValue="0" maxValue="1"/>
    </cacheField>
    <cacheField name="ip_risk_score" numFmtId="0">
      <sharedItems containsSemiMixedTypes="0" containsString="0" containsNumber="1" minValue="0" maxValue="0.995"/>
    </cacheField>
    <cacheField name="login_attempts_last_24h" numFmtId="0">
      <sharedItems containsSemiMixedTypes="0" containsString="0" containsNumber="1" containsInteger="1" minValue="1" maxValue="9"/>
    </cacheField>
    <cacheField name="fraud_label" numFmtId="49">
      <sharedItems containsMixedTypes="1" containsNumber="1" containsInteger="1" minValue="0" maxValue="1" count="3">
        <s v="0"/>
        <n v="0"/>
        <n v="1"/>
      </sharedItems>
    </cacheField>
  </cacheFields>
  <extLst>
    <ext xmlns:x14="http://schemas.microsoft.com/office/spreadsheetml/2009/9/main" uri="{725AE2AE-9491-48be-B2B4-4EB974FC3084}">
      <x14:pivotCacheDefinition pivotCacheId="1934475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L" refreshedDate="46083.853342013892" createdVersion="8" refreshedVersion="8" minRefreshableVersion="3" recordCount="970" xr:uid="{FBAD1995-98ED-49D6-B4FB-2A5A3C295D87}">
  <cacheSource type="worksheet">
    <worksheetSource ref="A1:O971" sheet="Data"/>
  </cacheSource>
  <cacheFields count="15">
    <cacheField name="transaction_id" numFmtId="0">
      <sharedItems count="970">
        <s v="T1"/>
        <s v="T2"/>
        <s v="T3"/>
        <s v="T4"/>
        <s v="T5"/>
        <s v="T6"/>
        <s v="T7"/>
        <s v="T8"/>
        <s v="T9"/>
        <s v="T10"/>
        <s v="T11"/>
        <s v="T12"/>
        <s v="T13"/>
        <s v="T14"/>
        <s v="T15"/>
        <s v="T16"/>
        <s v="T17"/>
        <s v="T18"/>
        <s v="T19"/>
        <s v="T20"/>
        <s v="T21"/>
        <s v="T22"/>
        <s v="T23"/>
        <s v="T24"/>
        <s v="T25"/>
        <s v="T26"/>
        <s v="T27"/>
        <s v="T28"/>
        <s v="T29"/>
        <s v="T30"/>
        <s v="T31"/>
        <s v="T32"/>
        <s v="T33"/>
        <s v="T34"/>
        <s v="T35"/>
        <s v="T36"/>
        <s v="T37"/>
        <s v="T38"/>
        <s v="T39"/>
        <s v="T40"/>
        <s v="T41"/>
        <s v="T42"/>
        <s v="T43"/>
        <s v="T44"/>
        <s v="T45"/>
        <s v="T46"/>
        <s v="T47"/>
        <s v="T48"/>
        <s v="T49"/>
        <s v="T50"/>
        <s v="T51"/>
        <s v="T52"/>
        <s v="T53"/>
        <s v="T54"/>
        <s v="T55"/>
        <s v="T56"/>
        <s v="T57"/>
        <s v="T58"/>
        <s v="T59"/>
        <s v="T60"/>
        <s v="T61"/>
        <s v="T62"/>
        <s v="T63"/>
        <s v="T64"/>
        <s v="T65"/>
        <s v="T66"/>
        <s v="T67"/>
        <s v="T68"/>
        <s v="T69"/>
        <s v="T70"/>
        <s v="T71"/>
        <s v="T72"/>
        <s v="T73"/>
        <s v="T74"/>
        <s v="T75"/>
        <s v="T76"/>
        <s v="T77"/>
        <s v="T78"/>
        <s v="T79"/>
        <s v="T80"/>
        <s v="T81"/>
        <s v="T82"/>
        <s v="T83"/>
        <s v="T84"/>
        <s v="T85"/>
        <s v="T86"/>
        <s v="T87"/>
        <s v="T88"/>
        <s v="T89"/>
        <s v="T90"/>
        <s v="T91"/>
        <s v="T92"/>
        <s v="T93"/>
        <s v="T94"/>
        <s v="T95"/>
        <s v="T96"/>
        <s v="T97"/>
        <s v="T98"/>
        <s v="T99"/>
        <s v="T100"/>
        <s v="T101"/>
        <s v="T102"/>
        <s v="T103"/>
        <s v="T104"/>
        <s v="T105"/>
        <s v="T106"/>
        <s v="T107"/>
        <s v="T108"/>
        <s v="T109"/>
        <s v="T110"/>
        <s v="T111"/>
        <s v="T112"/>
        <s v="T113"/>
        <s v="T114"/>
        <s v="T115"/>
        <s v="T116"/>
        <s v="T117"/>
        <s v="T118"/>
        <s v="T119"/>
        <s v="T120"/>
        <s v="T121"/>
        <s v="T122"/>
        <s v="T123"/>
        <s v="T124"/>
        <s v="T125"/>
        <s v="T126"/>
        <s v="T127"/>
        <s v="T128"/>
        <s v="T129"/>
        <s v="T130"/>
        <s v="T131"/>
        <s v="T132"/>
        <s v="T133"/>
        <s v="T134"/>
        <s v="T135"/>
        <s v="T136"/>
        <s v="T137"/>
        <s v="T138"/>
        <s v="T139"/>
        <s v="T140"/>
        <s v="T141"/>
        <s v="T142"/>
        <s v="T143"/>
        <s v="T144"/>
        <s v="T145"/>
        <s v="T146"/>
        <s v="T147"/>
        <s v="T148"/>
        <s v="T149"/>
        <s v="T150"/>
        <s v="T151"/>
        <s v="T152"/>
        <s v="T153"/>
        <s v="T154"/>
        <s v="T155"/>
        <s v="T156"/>
        <s v="T157"/>
        <s v="T158"/>
        <s v="T159"/>
        <s v="T160"/>
        <s v="T161"/>
        <s v="T162"/>
        <s v="T163"/>
        <s v="T164"/>
        <s v="T165"/>
        <s v="T166"/>
        <s v="T167"/>
        <s v="T168"/>
        <s v="T169"/>
        <s v="T170"/>
        <s v="T171"/>
        <s v="T172"/>
        <s v="T173"/>
        <s v="T174"/>
        <s v="T175"/>
        <s v="T176"/>
        <s v="T177"/>
        <s v="T178"/>
        <s v="T179"/>
        <s v="T180"/>
        <s v="T181"/>
        <s v="T182"/>
        <s v="T183"/>
        <s v="T184"/>
        <s v="T185"/>
        <s v="T186"/>
        <s v="T187"/>
        <s v="T188"/>
        <s v="T189"/>
        <s v="T190"/>
        <s v="T191"/>
        <s v="T192"/>
        <s v="T193"/>
        <s v="T194"/>
        <s v="T195"/>
        <s v="T196"/>
        <s v="T197"/>
        <s v="T198"/>
        <s v="T199"/>
        <s v="T200"/>
        <s v="T201"/>
        <s v="T202"/>
        <s v="T203"/>
        <s v="T204"/>
        <s v="T205"/>
        <s v="T206"/>
        <s v="T207"/>
        <s v="T208"/>
        <s v="T209"/>
        <s v="T210"/>
        <s v="T211"/>
        <s v="T212"/>
        <s v="T213"/>
        <s v="T214"/>
        <s v="T215"/>
        <s v="T216"/>
        <s v="T217"/>
        <s v="T218"/>
        <s v="T219"/>
        <s v="T220"/>
        <s v="T221"/>
        <s v="T222"/>
        <s v="T223"/>
        <s v="T224"/>
        <s v="T225"/>
        <s v="T226"/>
        <s v="T227"/>
        <s v="T228"/>
        <s v="T229"/>
        <s v="T230"/>
        <s v="T231"/>
        <s v="T232"/>
        <s v="T233"/>
        <s v="T234"/>
        <s v="T235"/>
        <s v="T236"/>
        <s v="T237"/>
        <s v="T238"/>
        <s v="T239"/>
        <s v="T240"/>
        <s v="T241"/>
        <s v="T242"/>
        <s v="T243"/>
        <s v="T244"/>
        <s v="T245"/>
        <s v="T246"/>
        <s v="T247"/>
        <s v="T248"/>
        <s v="T249"/>
        <s v="T250"/>
        <s v="T251"/>
        <s v="T252"/>
        <s v="T253"/>
        <s v="T254"/>
        <s v="T255"/>
        <s v="T256"/>
        <s v="T257"/>
        <s v="T258"/>
        <s v="T259"/>
        <s v="T260"/>
        <s v="T261"/>
        <s v="T262"/>
        <s v="T263"/>
        <s v="T264"/>
        <s v="T265"/>
        <s v="T266"/>
        <s v="T267"/>
        <s v="T268"/>
        <s v="T269"/>
        <s v="T270"/>
        <s v="T271"/>
        <s v="T272"/>
        <s v="T273"/>
        <s v="T274"/>
        <s v="T275"/>
        <s v="T276"/>
        <s v="T277"/>
        <s v="T278"/>
        <s v="T279"/>
        <s v="T280"/>
        <s v="T281"/>
        <s v="T282"/>
        <s v="T283"/>
        <s v="T284"/>
        <s v="T285"/>
        <s v="T286"/>
        <s v="T287"/>
        <s v="T288"/>
        <s v="T289"/>
        <s v="T290"/>
        <s v="T291"/>
        <s v="T292"/>
        <s v="T293"/>
        <s v="T294"/>
        <s v="T295"/>
        <s v="T296"/>
        <s v="T297"/>
        <s v="T298"/>
        <s v="T299"/>
        <s v="T300"/>
        <s v="T301"/>
        <s v="T302"/>
        <s v="T303"/>
        <s v="T304"/>
        <s v="T305"/>
        <s v="T306"/>
        <s v="T307"/>
        <s v="T308"/>
        <s v="T309"/>
        <s v="T310"/>
        <s v="T311"/>
        <s v="T312"/>
        <s v="T313"/>
        <s v="T314"/>
        <s v="T315"/>
        <s v="T316"/>
        <s v="T317"/>
        <s v="T318"/>
        <s v="T319"/>
        <s v="T320"/>
        <s v="T321"/>
        <s v="T322"/>
        <s v="T323"/>
        <s v="T324"/>
        <s v="T325"/>
        <s v="T326"/>
        <s v="T327"/>
        <s v="T328"/>
        <s v="T329"/>
        <s v="T330"/>
        <s v="T331"/>
        <s v="T332"/>
        <s v="T333"/>
        <s v="T334"/>
        <s v="T335"/>
        <s v="T336"/>
        <s v="T337"/>
        <s v="T338"/>
        <s v="T339"/>
        <s v="T340"/>
        <s v="T341"/>
        <s v="T342"/>
        <s v="T343"/>
        <s v="T344"/>
        <s v="T345"/>
        <s v="T346"/>
        <s v="T347"/>
        <s v="T348"/>
        <s v="T349"/>
        <s v="T350"/>
        <s v="T351"/>
        <s v="T352"/>
        <s v="T353"/>
        <s v="T354"/>
        <s v="T355"/>
        <s v="T356"/>
        <s v="T357"/>
        <s v="T358"/>
        <s v="T359"/>
        <s v="T360"/>
        <s v="T361"/>
        <s v="T362"/>
        <s v="T363"/>
        <s v="T364"/>
        <s v="T365"/>
        <s v="T366"/>
        <s v="T367"/>
        <s v="T368"/>
        <s v="T369"/>
        <s v="T370"/>
        <s v="T371"/>
        <s v="T372"/>
        <s v="T373"/>
        <s v="T374"/>
        <s v="T375"/>
        <s v="T376"/>
        <s v="T377"/>
        <s v="T378"/>
        <s v="T379"/>
        <s v="T380"/>
        <s v="T381"/>
        <s v="T382"/>
        <s v="T383"/>
        <s v="T384"/>
        <s v="T385"/>
        <s v="T386"/>
        <s v="T387"/>
        <s v="T388"/>
        <s v="T389"/>
        <s v="T390"/>
        <s v="T391"/>
        <s v="T392"/>
        <s v="T393"/>
        <s v="T394"/>
        <s v="T395"/>
        <s v="T396"/>
        <s v="T397"/>
        <s v="T398"/>
        <s v="T399"/>
        <s v="T400"/>
        <s v="T401"/>
        <s v="T402"/>
        <s v="T403"/>
        <s v="T404"/>
        <s v="T405"/>
        <s v="T406"/>
        <s v="T407"/>
        <s v="T408"/>
        <s v="T409"/>
        <s v="T410"/>
        <s v="T411"/>
        <s v="T412"/>
        <s v="T413"/>
        <s v="T414"/>
        <s v="T415"/>
        <s v="T416"/>
        <s v="T417"/>
        <s v="T418"/>
        <s v="T419"/>
        <s v="T420"/>
        <s v="T421"/>
        <s v="T422"/>
        <s v="T423"/>
        <s v="T424"/>
        <s v="T425"/>
        <s v="T426"/>
        <s v="T427"/>
        <s v="T428"/>
        <s v="T429"/>
        <s v="T430"/>
        <s v="T431"/>
        <s v="T432"/>
        <s v="T433"/>
        <s v="T434"/>
        <s v="T435"/>
        <s v="T436"/>
        <s v="T437"/>
        <s v="T438"/>
        <s v="T439"/>
        <s v="T440"/>
        <s v="T441"/>
        <s v="T442"/>
        <s v="T443"/>
        <s v="T444"/>
        <s v="T445"/>
        <s v="T446"/>
        <s v="T447"/>
        <s v="T448"/>
        <s v="T449"/>
        <s v="T450"/>
        <s v="T451"/>
        <s v="T452"/>
        <s v="T453"/>
        <s v="T454"/>
        <s v="T455"/>
        <s v="T456"/>
        <s v="T457"/>
        <s v="T458"/>
        <s v="T459"/>
        <s v="T460"/>
        <s v="T461"/>
        <s v="T462"/>
        <s v="T463"/>
        <s v="T464"/>
        <s v="T465"/>
        <s v="T466"/>
        <s v="T467"/>
        <s v="T468"/>
        <s v="T469"/>
        <s v="T470"/>
        <s v="T471"/>
        <s v="T472"/>
        <s v="T473"/>
        <s v="T474"/>
        <s v="T475"/>
        <s v="T476"/>
        <s v="T477"/>
        <s v="T478"/>
        <s v="T479"/>
        <s v="T480"/>
        <s v="T481"/>
        <s v="T482"/>
        <s v="T483"/>
        <s v="T484"/>
        <s v="T485"/>
        <s v="T486"/>
        <s v="T487"/>
        <s v="T488"/>
        <s v="T489"/>
        <s v="T490"/>
        <s v="T491"/>
        <s v="T492"/>
        <s v="T493"/>
        <s v="T494"/>
        <s v="T495"/>
        <s v="T496"/>
        <s v="T497"/>
        <s v="T498"/>
        <s v="T499"/>
        <s v="T500"/>
        <s v="T501"/>
        <s v="T502"/>
        <s v="T503"/>
        <s v="T504"/>
        <s v="T505"/>
        <s v="T506"/>
        <s v="T507"/>
        <s v="T508"/>
        <s v="T509"/>
        <s v="T510"/>
        <s v="T511"/>
        <s v="T512"/>
        <s v="T513"/>
        <s v="T514"/>
        <s v="T515"/>
        <s v="T516"/>
        <s v="T517"/>
        <s v="T522"/>
        <s v="T532"/>
        <s v="T653"/>
        <s v="T677"/>
        <s v="T679"/>
        <s v="T691"/>
        <s v="T704"/>
        <s v="T710"/>
        <s v="T711"/>
        <s v="T719"/>
        <s v="T720"/>
        <s v="T741"/>
        <s v="T762"/>
        <s v="T791"/>
        <s v="T806"/>
        <s v="T811"/>
        <s v="T831"/>
        <s v="T844"/>
        <s v="T848"/>
        <s v="T859"/>
        <s v="T877"/>
        <s v="T882"/>
        <s v="T935"/>
        <s v="T953"/>
        <s v="T964"/>
        <s v="T967"/>
        <s v="T974"/>
        <s v="T1015"/>
        <s v="T1038"/>
        <s v="T1071"/>
        <s v="T1089"/>
        <s v="T1109"/>
        <s v="T1115"/>
        <s v="T1117"/>
        <s v="T1125"/>
        <s v="T1150"/>
        <s v="T1156"/>
        <s v="T1169"/>
        <s v="T1199"/>
        <s v="T1211"/>
        <s v="T1217"/>
        <s v="T1253"/>
        <s v="T1273"/>
        <s v="T1292"/>
        <s v="T1300"/>
        <s v="T1321"/>
        <s v="T1326"/>
        <s v="T1341"/>
        <s v="T1391"/>
        <s v="T1420"/>
        <s v="T1438"/>
        <s v="T1444"/>
        <s v="T1447"/>
        <s v="T1449"/>
        <s v="T1453"/>
        <s v="T1464"/>
        <s v="T1470"/>
        <s v="T1507"/>
        <s v="T1518"/>
        <s v="T1520"/>
        <s v="T1523"/>
        <s v="T1546"/>
        <s v="T1548"/>
        <s v="T1549"/>
        <s v="T1562"/>
        <s v="T1565"/>
        <s v="T1576"/>
        <s v="T1591"/>
        <s v="T1606"/>
        <s v="T1628"/>
        <s v="T1636"/>
        <s v="T1678"/>
        <s v="T1679"/>
        <s v="T1686"/>
        <s v="T1688"/>
        <s v="T1698"/>
        <s v="T1717"/>
        <s v="T1722"/>
        <s v="T1731"/>
        <s v="T1732"/>
        <s v="T1748"/>
        <s v="T1754"/>
        <s v="T1761"/>
        <s v="T1768"/>
        <s v="T1779"/>
        <s v="T1783"/>
        <s v="T1785"/>
        <s v="T1786"/>
        <s v="T1788"/>
        <s v="T1818"/>
        <s v="T1828"/>
        <s v="T1831"/>
        <s v="T1838"/>
        <s v="T1845"/>
        <s v="T1851"/>
        <s v="T1856"/>
        <s v="T1862"/>
        <s v="T1897"/>
        <s v="T1910"/>
        <s v="T1914"/>
        <s v="T1915"/>
        <s v="T1938"/>
        <s v="T1939"/>
        <s v="T2004"/>
        <s v="T2008"/>
        <s v="T2016"/>
        <s v="T2021"/>
        <s v="T2024"/>
        <s v="T2036"/>
        <s v="T2048"/>
        <s v="T2052"/>
        <s v="T2070"/>
        <s v="T2082"/>
        <s v="T2119"/>
        <s v="T2155"/>
        <s v="T2157"/>
        <s v="T2165"/>
        <s v="T2174"/>
        <s v="T2192"/>
        <s v="T2209"/>
        <s v="T2214"/>
        <s v="T2267"/>
        <s v="T2304"/>
        <s v="T2310"/>
        <s v="T2346"/>
        <s v="T2370"/>
        <s v="T2419"/>
        <s v="T2447"/>
        <s v="T2451"/>
        <s v="T2458"/>
        <s v="T2521"/>
        <s v="T2523"/>
        <s v="T2530"/>
        <s v="T2551"/>
        <s v="T2577"/>
        <s v="T2593"/>
        <s v="T2602"/>
        <s v="T2650"/>
        <s v="T2656"/>
        <s v="T2665"/>
        <s v="T2677"/>
        <s v="T2685"/>
        <s v="T2692"/>
        <s v="T2733"/>
        <s v="T2755"/>
        <s v="T2770"/>
        <s v="T2783"/>
        <s v="T2786"/>
        <s v="T2788"/>
        <s v="T2789"/>
        <s v="T2803"/>
        <s v="T2823"/>
        <s v="T2856"/>
        <s v="T2858"/>
        <s v="T2882"/>
        <s v="T2913"/>
        <s v="T2931"/>
        <s v="T2946"/>
        <s v="T2989"/>
        <s v="T3011"/>
        <s v="T3029"/>
        <s v="T3041"/>
        <s v="T3042"/>
        <s v="T3062"/>
        <s v="T3070"/>
        <s v="T3079"/>
        <s v="T3084"/>
        <s v="T3087"/>
        <s v="T3094"/>
        <s v="T3101"/>
        <s v="T3144"/>
        <s v="T3151"/>
        <s v="T3153"/>
        <s v="T3207"/>
        <s v="T3231"/>
        <s v="T3236"/>
        <s v="T3249"/>
        <s v="T3255"/>
        <s v="T3313"/>
        <s v="T3317"/>
        <s v="T3326"/>
        <s v="T3334"/>
        <s v="T3361"/>
        <s v="T3375"/>
        <s v="T3376"/>
        <s v="T3394"/>
        <s v="T3401"/>
        <s v="T3452"/>
        <s v="T3453"/>
        <s v="T3500"/>
        <s v="T3511"/>
        <s v="T3518"/>
        <s v="T3527"/>
        <s v="T3543"/>
        <s v="T3566"/>
        <s v="T3581"/>
        <s v="T3590"/>
        <s v="T3600"/>
        <s v="T3613"/>
        <s v="T3649"/>
        <s v="T3650"/>
        <s v="T3653"/>
        <s v="T3681"/>
        <s v="T3694"/>
        <s v="T3695"/>
        <s v="T3702"/>
        <s v="T3707"/>
        <s v="T3713"/>
        <s v="T3729"/>
        <s v="T3746"/>
        <s v="T3751"/>
        <s v="T3753"/>
        <s v="T3766"/>
        <s v="T3799"/>
        <s v="T3811"/>
        <s v="T3827"/>
        <s v="T3844"/>
        <s v="T3883"/>
        <s v="T3905"/>
        <s v="T3912"/>
        <s v="T3916"/>
        <s v="T3943"/>
        <s v="T3946"/>
        <s v="T3947"/>
        <s v="T3992"/>
        <s v="T4003"/>
        <s v="T4034"/>
        <s v="T4045"/>
        <s v="T4056"/>
        <s v="T4069"/>
        <s v="T4135"/>
        <s v="T4147"/>
        <s v="T4150"/>
        <s v="T4185"/>
        <s v="T4195"/>
        <s v="T4209"/>
        <s v="T4233"/>
        <s v="T4253"/>
        <s v="T4282"/>
        <s v="T4285"/>
        <s v="T4287"/>
        <s v="T4292"/>
        <s v="T4294"/>
        <s v="T4301"/>
        <s v="T4306"/>
        <s v="T4309"/>
        <s v="T4310"/>
        <s v="T4337"/>
        <s v="T4348"/>
        <s v="T4357"/>
        <s v="T4360"/>
        <s v="T4364"/>
        <s v="T4366"/>
        <s v="T4406"/>
        <s v="T4411"/>
        <s v="T4414"/>
        <s v="T4419"/>
        <s v="T4427"/>
        <s v="T4444"/>
        <s v="T4448"/>
        <s v="T4469"/>
        <s v="T4488"/>
        <s v="T4501"/>
        <s v="T4524"/>
        <s v="T4540"/>
        <s v="T4544"/>
        <s v="T4558"/>
        <s v="T4559"/>
        <s v="T4576"/>
        <s v="T4584"/>
        <s v="T4589"/>
        <s v="T4646"/>
        <s v="T4667"/>
        <s v="T4684"/>
        <s v="T4704"/>
        <s v="T4722"/>
        <s v="T4746"/>
        <s v="T4748"/>
        <s v="T4759"/>
        <s v="T4768"/>
        <s v="T4833"/>
        <s v="T4834"/>
        <s v="T4848"/>
        <s v="T4857"/>
        <s v="T4879"/>
        <s v="T4880"/>
        <s v="T4892"/>
        <s v="T4902"/>
        <s v="T4940"/>
        <s v="T4946"/>
        <s v="T4970"/>
        <s v="T4990"/>
        <s v="T4997"/>
        <s v="T5013"/>
        <s v="T5017"/>
        <s v="T5045"/>
        <s v="T5048"/>
        <s v="T5059"/>
        <s v="T5076"/>
        <s v="T5079"/>
        <s v="T5091"/>
        <s v="T5116"/>
        <s v="T5123"/>
        <s v="T5136"/>
        <s v="T5154"/>
        <s v="T5166"/>
        <s v="T5174"/>
        <s v="T5178"/>
        <s v="T5188"/>
        <s v="T5272"/>
        <s v="T5275"/>
        <s v="T5276"/>
        <s v="T5294"/>
        <s v="T5318"/>
        <s v="T5322"/>
        <s v="T5328"/>
        <s v="T5374"/>
        <s v="T5392"/>
        <s v="T5404"/>
        <s v="T5436"/>
        <s v="T5438"/>
        <s v="T5458"/>
        <s v="T5462"/>
        <s v="T5464"/>
        <s v="T5499"/>
        <s v="T5502"/>
        <s v="T5504"/>
        <s v="T5544"/>
        <s v="T5573"/>
        <s v="T5582"/>
        <s v="T5607"/>
        <s v="T5609"/>
        <s v="T5620"/>
        <s v="T5625"/>
        <s v="T5638"/>
        <s v="T5655"/>
        <s v="T5661"/>
        <s v="T5671"/>
        <s v="T5689"/>
        <s v="T5765"/>
        <s v="T5769"/>
        <s v="T5818"/>
        <s v="T5820"/>
        <s v="T5903"/>
        <s v="T5918"/>
        <s v="T5919"/>
        <s v="T5939"/>
        <s v="T5954"/>
        <s v="T5960"/>
        <s v="T5983"/>
        <s v="T5992"/>
        <s v="T6024"/>
        <s v="T6051"/>
        <s v="T6062"/>
        <s v="T6089"/>
        <s v="T6094"/>
        <s v="T6115"/>
        <s v="T6122"/>
        <s v="T6123"/>
        <s v="T6129"/>
        <s v="T6131"/>
        <s v="T6144"/>
        <s v="T6147"/>
        <s v="T6151"/>
        <s v="T6156"/>
        <s v="T6214"/>
        <s v="T6215"/>
        <s v="T6231"/>
        <s v="T6234"/>
        <s v="T6249"/>
        <s v="T6265"/>
        <s v="T6274"/>
        <s v="T6317"/>
        <s v="T6339"/>
        <s v="T6349"/>
        <s v="T6368"/>
        <s v="T6393"/>
        <s v="T6414"/>
        <s v="T6427"/>
        <s v="T6433"/>
        <s v="T6466"/>
        <s v="T6469"/>
        <s v="T6483"/>
        <s v="T6516"/>
        <s v="T6522"/>
        <s v="T6534"/>
        <s v="T6538"/>
        <s v="T6556"/>
        <s v="T6560"/>
        <s v="T6561"/>
        <s v="T6563"/>
        <s v="T6585"/>
        <s v="T6586"/>
        <s v="T6624"/>
        <s v="T6645"/>
        <s v="T6661"/>
        <s v="T6674"/>
        <s v="T6693"/>
        <s v="T6725"/>
        <s v="T6730"/>
        <s v="T6751"/>
        <s v="T6771"/>
        <s v="T6777"/>
        <s v="T6782"/>
        <s v="T6787"/>
        <s v="T6808"/>
        <s v="T6834"/>
        <s v="T6870"/>
        <s v="T6872"/>
        <s v="T6875"/>
        <s v="T6887"/>
        <s v="T6911"/>
        <s v="T6914"/>
        <s v="T6928"/>
        <s v="T6948"/>
        <s v="T6963"/>
        <s v="T6969"/>
        <s v="T6978"/>
        <s v="T6988"/>
        <s v="T7024"/>
        <s v="T7030"/>
        <s v="T7035"/>
        <s v="T7047"/>
        <s v="T7074"/>
        <s v="T7092"/>
        <s v="T7094"/>
        <s v="T7110"/>
        <s v="T7117"/>
        <s v="T7144"/>
        <s v="T7150"/>
        <s v="T7166"/>
        <s v="T7169"/>
        <s v="T7185"/>
        <s v="T7188"/>
        <s v="T7194"/>
        <s v="T7231"/>
        <s v="T7252"/>
        <s v="T7270"/>
        <s v="T7301"/>
        <s v="T7303"/>
        <s v="T7316"/>
        <s v="T7317"/>
        <s v="T7352"/>
        <s v="T7353"/>
        <s v="T7364"/>
        <s v="T7375"/>
        <s v="T7382"/>
        <s v="T7394"/>
        <s v="T7415"/>
        <s v="T7422"/>
        <s v="T7448"/>
        <s v="T7450"/>
        <s v="T7458"/>
      </sharedItems>
    </cacheField>
    <cacheField name="user_id" numFmtId="0">
      <sharedItems/>
    </cacheField>
    <cacheField name="transaction_amount" numFmtId="4">
      <sharedItems containsSemiMixedTypes="0" containsString="0" containsNumber="1" minValue="245.72" maxValue="49985.9"/>
    </cacheField>
    <cacheField name="transaction_type" numFmtId="0">
      <sharedItems count="3">
        <s v="Transfer"/>
        <s v="Payment"/>
        <s v="Withdrawal"/>
      </sharedItems>
    </cacheField>
    <cacheField name="payment_mode" numFmtId="0">
      <sharedItems count="4">
        <s v="UPI"/>
        <s v="Wallet"/>
        <s v="Card"/>
        <s v="NetBanking"/>
      </sharedItems>
    </cacheField>
    <cacheField name="device_type" numFmtId="0">
      <sharedItems count="3">
        <s v="Web"/>
        <s v="iOS"/>
        <s v="Android"/>
      </sharedItems>
    </cacheField>
    <cacheField name="device_location" numFmtId="0">
      <sharedItems count="5">
        <s v="Hyderabad"/>
        <s v="Chennai"/>
        <s v="Delhi"/>
        <s v="Mumbai"/>
        <s v="Bangalore"/>
      </sharedItems>
    </cacheField>
    <cacheField name="account_age_days" numFmtId="0">
      <sharedItems containsSemiMixedTypes="0" containsString="0" containsNumber="1" containsInteger="1" minValue="10" maxValue="1999"/>
    </cacheField>
    <cacheField name="transaction_hour" numFmtId="0">
      <sharedItems containsSemiMixedTypes="0" containsString="0" containsNumber="1" containsInteger="1" minValue="0" maxValue="23"/>
    </cacheField>
    <cacheField name="previous_failed_attempts" numFmtId="0">
      <sharedItems containsSemiMixedTypes="0" containsString="0" containsNumber="1" containsInteger="1" minValue="0" maxValue="4"/>
    </cacheField>
    <cacheField name="avg_transaction_amount" numFmtId="4">
      <sharedItems containsSemiMixedTypes="0" containsString="0" containsNumber="1" minValue="249.26" maxValue="29963.03"/>
    </cacheField>
    <cacheField name="is_international" numFmtId="0">
      <sharedItems containsSemiMixedTypes="0" containsString="0" containsNumber="1" containsInteger="1" minValue="0" maxValue="1"/>
    </cacheField>
    <cacheField name="ip_risk_score" numFmtId="0">
      <sharedItems containsSemiMixedTypes="0" containsString="0" containsNumber="1" minValue="0" maxValue="0.995"/>
    </cacheField>
    <cacheField name="login_attempts_last_24h" numFmtId="0">
      <sharedItems containsSemiMixedTypes="0" containsString="0" containsNumber="1" containsInteger="1" minValue="1" maxValue="9"/>
    </cacheField>
    <cacheField name="fraud_label" numFmtId="49">
      <sharedItems containsMixedTypes="1" containsNumber="1" containsInteger="1" minValue="0" maxValue="1" count="4">
        <s v="0"/>
        <s v="1"/>
        <n v="0" u="1"/>
        <n v="1" u="1"/>
      </sharedItems>
    </cacheField>
  </cacheFields>
  <extLst>
    <ext xmlns:x14="http://schemas.microsoft.com/office/spreadsheetml/2009/9/main" uri="{725AE2AE-9491-48be-B2B4-4EB974FC3084}">
      <x14:pivotCacheDefinition pivotCacheId="1653935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0">
  <r>
    <s v="T1"/>
    <s v="U3756"/>
    <n v="18758.28"/>
    <s v="Transfer"/>
    <s v="UPI"/>
    <s v="Web"/>
    <s v="Hyderabad"/>
    <n v="895"/>
    <x v="0"/>
    <n v="1"/>
    <n v="25535.84"/>
    <n v="0"/>
    <n v="0.71799999999999997"/>
    <n v="4"/>
    <x v="0"/>
  </r>
  <r>
    <s v="T2"/>
    <s v="U7899"/>
    <n v="47538.18"/>
    <s v="Payment"/>
    <s v="Wallet"/>
    <s v="iOS"/>
    <s v="Hyderabad"/>
    <n v="918"/>
    <x v="1"/>
    <n v="0"/>
    <n v="3955.85"/>
    <n v="0"/>
    <n v="0.52500000000000002"/>
    <n v="9"/>
    <x v="1"/>
  </r>
  <r>
    <s v="T3"/>
    <s v="U1765"/>
    <n v="36613.1"/>
    <s v="Payment"/>
    <s v="Card"/>
    <s v="Android"/>
    <s v="Chennai"/>
    <n v="1506"/>
    <x v="2"/>
    <n v="4"/>
    <n v="22727.71"/>
    <n v="0"/>
    <n v="0.98499999999999999"/>
    <n v="9"/>
    <x v="1"/>
  </r>
  <r>
    <s v="T4"/>
    <s v="U8850"/>
    <n v="29952.99"/>
    <s v="Payment"/>
    <s v="Wallet"/>
    <s v="iOS"/>
    <s v="Chennai"/>
    <n v="800"/>
    <x v="3"/>
    <n v="3"/>
    <n v="18095.89"/>
    <n v="0"/>
    <n v="0.79700000000000004"/>
    <n v="2"/>
    <x v="1"/>
  </r>
  <r>
    <s v="T5"/>
    <s v="U9049"/>
    <n v="7843.13"/>
    <s v="Payment"/>
    <s v="UPI"/>
    <s v="Web"/>
    <s v="Delhi"/>
    <n v="301"/>
    <x v="4"/>
    <n v="1"/>
    <n v="9317.49"/>
    <n v="1"/>
    <n v="0.46800000000000003"/>
    <n v="1"/>
    <x v="1"/>
  </r>
  <r>
    <s v="T6"/>
    <s v="U1787"/>
    <n v="7841.93"/>
    <s v="Transfer"/>
    <s v="NetBanking"/>
    <s v="Web"/>
    <s v="Hyderabad"/>
    <n v="1992"/>
    <x v="5"/>
    <n v="3"/>
    <n v="4177.2299999999996"/>
    <n v="0"/>
    <n v="0.58299999999999996"/>
    <n v="3"/>
    <x v="1"/>
  </r>
  <r>
    <s v="T7"/>
    <s v="U8763"/>
    <n v="2951.28"/>
    <s v="Transfer"/>
    <s v="UPI"/>
    <s v="Android"/>
    <s v="Hyderabad"/>
    <n v="1285"/>
    <x v="6"/>
    <n v="4"/>
    <n v="11451.45"/>
    <n v="0"/>
    <n v="4.4999999999999998E-2"/>
    <n v="8"/>
    <x v="2"/>
  </r>
  <r>
    <s v="T8"/>
    <s v="U1439"/>
    <n v="43315.5"/>
    <s v="Transfer"/>
    <s v="UPI"/>
    <s v="Web"/>
    <s v="Hyderabad"/>
    <n v="1621"/>
    <x v="4"/>
    <n v="4"/>
    <n v="13297.18"/>
    <n v="0"/>
    <n v="0.96499999999999997"/>
    <n v="4"/>
    <x v="1"/>
  </r>
  <r>
    <s v="T9"/>
    <s v="U6660"/>
    <n v="30075.69"/>
    <s v="Transfer"/>
    <s v="UPI"/>
    <s v="Android"/>
    <s v="Mumbai"/>
    <n v="184"/>
    <x v="7"/>
    <n v="0"/>
    <n v="4308.8"/>
    <n v="0"/>
    <n v="0.36299999999999999"/>
    <n v="5"/>
    <x v="1"/>
  </r>
  <r>
    <s v="T10"/>
    <s v="U3566"/>
    <n v="35418.230000000003"/>
    <s v="Payment"/>
    <s v="Card"/>
    <s v="iOS"/>
    <s v="Hyderabad"/>
    <n v="118"/>
    <x v="8"/>
    <n v="3"/>
    <n v="20136.79"/>
    <n v="0"/>
    <n v="0.66200000000000003"/>
    <n v="5"/>
    <x v="1"/>
  </r>
  <r>
    <s v="T11"/>
    <s v="U7074"/>
    <n v="1078.2"/>
    <s v="Withdrawal"/>
    <s v="Wallet"/>
    <s v="iOS"/>
    <s v="Mumbai"/>
    <n v="971"/>
    <x v="9"/>
    <n v="4"/>
    <n v="9282.58"/>
    <n v="0"/>
    <n v="0.66700000000000004"/>
    <n v="2"/>
    <x v="1"/>
  </r>
  <r>
    <s v="T12"/>
    <s v="U4776"/>
    <n v="48497"/>
    <s v="Transfer"/>
    <s v="NetBanking"/>
    <s v="Android"/>
    <s v="Delhi"/>
    <n v="1373"/>
    <x v="7"/>
    <n v="2"/>
    <n v="24200.58"/>
    <n v="0"/>
    <n v="5.7000000000000002E-2"/>
    <n v="1"/>
    <x v="1"/>
  </r>
  <r>
    <s v="T13"/>
    <s v="U2955"/>
    <n v="41630.51"/>
    <s v="Transfer"/>
    <s v="Card"/>
    <s v="iOS"/>
    <s v="Bangalore"/>
    <n v="857"/>
    <x v="0"/>
    <n v="4"/>
    <n v="19485.63"/>
    <n v="0"/>
    <n v="0.26600000000000001"/>
    <n v="8"/>
    <x v="1"/>
  </r>
  <r>
    <s v="T14"/>
    <s v="U8947"/>
    <n v="10656.34"/>
    <s v="Payment"/>
    <s v="UPI"/>
    <s v="Android"/>
    <s v="Hyderabad"/>
    <n v="1047"/>
    <x v="8"/>
    <n v="4"/>
    <n v="9384.02"/>
    <n v="0"/>
    <n v="0.65600000000000003"/>
    <n v="5"/>
    <x v="1"/>
  </r>
  <r>
    <s v="T15"/>
    <s v="U7312"/>
    <n v="9132.16"/>
    <s v="Payment"/>
    <s v="NetBanking"/>
    <s v="iOS"/>
    <s v="Chennai"/>
    <n v="702"/>
    <x v="10"/>
    <n v="3"/>
    <n v="10864.59"/>
    <n v="0"/>
    <n v="0.91200000000000003"/>
    <n v="2"/>
    <x v="1"/>
  </r>
  <r>
    <s v="T16"/>
    <s v="U2252"/>
    <n v="9211.06"/>
    <s v="Payment"/>
    <s v="UPI"/>
    <s v="iOS"/>
    <s v="Chennai"/>
    <n v="1355"/>
    <x v="11"/>
    <n v="4"/>
    <n v="28270.21"/>
    <n v="0"/>
    <n v="0.77900000000000003"/>
    <n v="7"/>
    <x v="1"/>
  </r>
  <r>
    <s v="T17"/>
    <s v="U2234"/>
    <n v="15246.9"/>
    <s v="Payment"/>
    <s v="UPI"/>
    <s v="Web"/>
    <s v="Hyderabad"/>
    <n v="1978"/>
    <x v="4"/>
    <n v="1"/>
    <n v="28448.77"/>
    <n v="0"/>
    <n v="0.57999999999999996"/>
    <n v="2"/>
    <x v="1"/>
  </r>
  <r>
    <s v="T18"/>
    <s v="U5276"/>
    <n v="26261.58"/>
    <s v="Withdrawal"/>
    <s v="UPI"/>
    <s v="Web"/>
    <s v="Mumbai"/>
    <n v="1817"/>
    <x v="12"/>
    <n v="4"/>
    <n v="12609.29"/>
    <n v="0"/>
    <n v="0.23200000000000001"/>
    <n v="6"/>
    <x v="1"/>
  </r>
  <r>
    <s v="T19"/>
    <s v="U4164"/>
    <n v="21625.65"/>
    <s v="Withdrawal"/>
    <s v="NetBanking"/>
    <s v="Android"/>
    <s v="Chennai"/>
    <n v="973"/>
    <x v="9"/>
    <n v="2"/>
    <n v="20407.189999999999"/>
    <n v="0"/>
    <n v="0.94899999999999995"/>
    <n v="9"/>
    <x v="1"/>
  </r>
  <r>
    <s v="T20"/>
    <s v="U2630"/>
    <n v="14596.9"/>
    <s v="Transfer"/>
    <s v="Wallet"/>
    <s v="iOS"/>
    <s v="Chennai"/>
    <n v="52"/>
    <x v="2"/>
    <n v="4"/>
    <n v="29401.17"/>
    <n v="0"/>
    <n v="0.40400000000000003"/>
    <n v="4"/>
    <x v="1"/>
  </r>
  <r>
    <s v="T21"/>
    <s v="U9283"/>
    <n v="30612.05"/>
    <s v="Withdrawal"/>
    <s v="UPI"/>
    <s v="iOS"/>
    <s v="Delhi"/>
    <n v="470"/>
    <x v="10"/>
    <n v="0"/>
    <n v="29822.13"/>
    <n v="0"/>
    <n v="0.15"/>
    <n v="5"/>
    <x v="1"/>
  </r>
  <r>
    <s v="T22"/>
    <s v="U6747"/>
    <n v="7017.72"/>
    <s v="Transfer"/>
    <s v="Wallet"/>
    <s v="iOS"/>
    <s v="Delhi"/>
    <n v="1135"/>
    <x v="13"/>
    <n v="3"/>
    <n v="2256.81"/>
    <n v="0"/>
    <n v="2.1999999999999999E-2"/>
    <n v="1"/>
    <x v="1"/>
  </r>
  <r>
    <s v="T23"/>
    <s v="U1181"/>
    <n v="14642.63"/>
    <s v="Transfer"/>
    <s v="NetBanking"/>
    <s v="Web"/>
    <s v="Delhi"/>
    <n v="1658"/>
    <x v="11"/>
    <n v="2"/>
    <n v="16649.62"/>
    <n v="1"/>
    <n v="0.95"/>
    <n v="1"/>
    <x v="1"/>
  </r>
  <r>
    <s v="T24"/>
    <s v="U4203"/>
    <n v="18349.77"/>
    <s v="Withdrawal"/>
    <s v="NetBanking"/>
    <s v="Android"/>
    <s v="Chennai"/>
    <n v="714"/>
    <x v="14"/>
    <n v="1"/>
    <n v="21825.86"/>
    <n v="0"/>
    <n v="0.77800000000000002"/>
    <n v="9"/>
    <x v="1"/>
  </r>
  <r>
    <s v="T25"/>
    <s v="U4808"/>
    <n v="22830.7"/>
    <s v="Transfer"/>
    <s v="UPI"/>
    <s v="Android"/>
    <s v="Chennai"/>
    <n v="1042"/>
    <x v="9"/>
    <n v="4"/>
    <n v="5687.3"/>
    <n v="0"/>
    <n v="0.216"/>
    <n v="5"/>
    <x v="1"/>
  </r>
  <r>
    <s v="T26"/>
    <s v="U3308"/>
    <n v="39269.54"/>
    <s v="Payment"/>
    <s v="Wallet"/>
    <s v="Android"/>
    <s v="Hyderabad"/>
    <n v="158"/>
    <x v="2"/>
    <n v="4"/>
    <n v="24674.959999999999"/>
    <n v="0"/>
    <n v="0.14199999999999999"/>
    <n v="3"/>
    <x v="1"/>
  </r>
  <r>
    <s v="T27"/>
    <s v="U1472"/>
    <n v="10023.709999999999"/>
    <s v="Transfer"/>
    <s v="Wallet"/>
    <s v="iOS"/>
    <s v="Hyderabad"/>
    <n v="347"/>
    <x v="7"/>
    <n v="1"/>
    <n v="14106.78"/>
    <n v="0"/>
    <n v="0.95899999999999996"/>
    <n v="2"/>
    <x v="1"/>
  </r>
  <r>
    <s v="T28"/>
    <s v="U8397"/>
    <n v="25736.01"/>
    <s v="Payment"/>
    <s v="UPI"/>
    <s v="Android"/>
    <s v="Mumbai"/>
    <n v="1012"/>
    <x v="8"/>
    <n v="4"/>
    <n v="14982.77"/>
    <n v="0"/>
    <n v="0.24099999999999999"/>
    <n v="7"/>
    <x v="1"/>
  </r>
  <r>
    <s v="T29"/>
    <s v="U9198"/>
    <n v="29641.11"/>
    <s v="Withdrawal"/>
    <s v="Card"/>
    <s v="Web"/>
    <s v="Chennai"/>
    <n v="233"/>
    <x v="8"/>
    <n v="0"/>
    <n v="8302.26"/>
    <n v="0"/>
    <n v="0.46200000000000002"/>
    <n v="4"/>
    <x v="1"/>
  </r>
  <r>
    <s v="T30"/>
    <s v="U8334"/>
    <n v="2370.1999999999998"/>
    <s v="Withdrawal"/>
    <s v="Card"/>
    <s v="Web"/>
    <s v="Hyderabad"/>
    <n v="1143"/>
    <x v="2"/>
    <n v="2"/>
    <n v="9074.41"/>
    <n v="0"/>
    <n v="0.61099999999999999"/>
    <n v="3"/>
    <x v="1"/>
  </r>
  <r>
    <s v="T31"/>
    <s v="U2407"/>
    <n v="30396.87"/>
    <s v="Transfer"/>
    <s v="NetBanking"/>
    <s v="Android"/>
    <s v="Hyderabad"/>
    <n v="363"/>
    <x v="8"/>
    <n v="4"/>
    <n v="2616.7800000000002"/>
    <n v="0"/>
    <n v="6.2E-2"/>
    <n v="2"/>
    <x v="1"/>
  </r>
  <r>
    <s v="T32"/>
    <s v="U7256"/>
    <n v="8567.68"/>
    <s v="Payment"/>
    <s v="NetBanking"/>
    <s v="iOS"/>
    <s v="Delhi"/>
    <n v="1117"/>
    <x v="2"/>
    <n v="1"/>
    <n v="27952.33"/>
    <n v="0"/>
    <n v="0.34399999999999997"/>
    <n v="4"/>
    <x v="1"/>
  </r>
  <r>
    <s v="T33"/>
    <s v="U5506"/>
    <n v="3299.33"/>
    <s v="Transfer"/>
    <s v="Card"/>
    <s v="Web"/>
    <s v="Delhi"/>
    <n v="564"/>
    <x v="15"/>
    <n v="1"/>
    <n v="11517.82"/>
    <n v="1"/>
    <n v="0.94399999999999995"/>
    <n v="9"/>
    <x v="1"/>
  </r>
  <r>
    <s v="T34"/>
    <s v="U5582"/>
    <n v="47446.83"/>
    <s v="Withdrawal"/>
    <s v="Card"/>
    <s v="Web"/>
    <s v="Delhi"/>
    <n v="75"/>
    <x v="1"/>
    <n v="2"/>
    <n v="4950.68"/>
    <n v="0"/>
    <n v="0.7"/>
    <n v="7"/>
    <x v="1"/>
  </r>
  <r>
    <s v="T35"/>
    <s v="U3759"/>
    <n v="48283.32"/>
    <s v="Transfer"/>
    <s v="Card"/>
    <s v="iOS"/>
    <s v="Bangalore"/>
    <n v="1421"/>
    <x v="16"/>
    <n v="0"/>
    <n v="4356.41"/>
    <n v="0"/>
    <n v="0.36799999999999999"/>
    <n v="1"/>
    <x v="1"/>
  </r>
  <r>
    <s v="T36"/>
    <s v="U2802"/>
    <n v="40429.449999999997"/>
    <s v="Transfer"/>
    <s v="UPI"/>
    <s v="iOS"/>
    <s v="Hyderabad"/>
    <n v="1924"/>
    <x v="17"/>
    <n v="2"/>
    <n v="12281.44"/>
    <n v="0"/>
    <n v="0.79200000000000004"/>
    <n v="3"/>
    <x v="1"/>
  </r>
  <r>
    <s v="T37"/>
    <s v="U8637"/>
    <n v="15265.46"/>
    <s v="Payment"/>
    <s v="UPI"/>
    <s v="Android"/>
    <s v="Delhi"/>
    <n v="630"/>
    <x v="12"/>
    <n v="4"/>
    <n v="19003.02"/>
    <n v="1"/>
    <n v="0.83699999999999997"/>
    <n v="5"/>
    <x v="1"/>
  </r>
  <r>
    <s v="T38"/>
    <s v="U4639"/>
    <n v="4928.72"/>
    <s v="Withdrawal"/>
    <s v="UPI"/>
    <s v="Web"/>
    <s v="Delhi"/>
    <n v="1647"/>
    <x v="18"/>
    <n v="0"/>
    <n v="23355.69"/>
    <n v="0"/>
    <n v="0.152"/>
    <n v="7"/>
    <x v="1"/>
  </r>
  <r>
    <s v="T39"/>
    <s v="U3206"/>
    <n v="34227.440000000002"/>
    <s v="Transfer"/>
    <s v="UPI"/>
    <s v="Web"/>
    <s v="Chennai"/>
    <n v="1168"/>
    <x v="17"/>
    <n v="0"/>
    <n v="27745.69"/>
    <n v="0"/>
    <n v="0.58699999999999997"/>
    <n v="5"/>
    <x v="1"/>
  </r>
  <r>
    <s v="T40"/>
    <s v="U9553"/>
    <n v="22035.62"/>
    <s v="Payment"/>
    <s v="UPI"/>
    <s v="Android"/>
    <s v="Delhi"/>
    <n v="1119"/>
    <x v="19"/>
    <n v="1"/>
    <n v="19107.490000000002"/>
    <n v="0"/>
    <n v="0.36699999999999999"/>
    <n v="9"/>
    <x v="1"/>
  </r>
  <r>
    <s v="T41"/>
    <s v="U4277"/>
    <n v="6145.81"/>
    <s v="Transfer"/>
    <s v="UPI"/>
    <s v="Android"/>
    <s v="Chennai"/>
    <n v="93"/>
    <x v="6"/>
    <n v="0"/>
    <n v="12677.79"/>
    <n v="0"/>
    <n v="0.50700000000000001"/>
    <n v="7"/>
    <x v="1"/>
  </r>
  <r>
    <s v="T42"/>
    <s v="U6751"/>
    <n v="24784.09"/>
    <s v="Payment"/>
    <s v="NetBanking"/>
    <s v="Web"/>
    <s v="Mumbai"/>
    <n v="1987"/>
    <x v="6"/>
    <n v="4"/>
    <n v="12716.2"/>
    <n v="0"/>
    <n v="0.46899999999999997"/>
    <n v="1"/>
    <x v="1"/>
  </r>
  <r>
    <s v="T43"/>
    <s v="U2054"/>
    <n v="1767.71"/>
    <s v="Payment"/>
    <s v="Wallet"/>
    <s v="Web"/>
    <s v="Delhi"/>
    <n v="236"/>
    <x v="10"/>
    <n v="4"/>
    <n v="17273.87"/>
    <n v="0"/>
    <n v="0.504"/>
    <n v="6"/>
    <x v="1"/>
  </r>
  <r>
    <s v="T44"/>
    <s v="U6523"/>
    <n v="45470.55"/>
    <s v="Transfer"/>
    <s v="NetBanking"/>
    <s v="iOS"/>
    <s v="Chennai"/>
    <n v="1293"/>
    <x v="20"/>
    <n v="4"/>
    <n v="16187.42"/>
    <n v="0"/>
    <n v="0.52200000000000002"/>
    <n v="2"/>
    <x v="1"/>
  </r>
  <r>
    <s v="T45"/>
    <s v="U1346"/>
    <n v="12976.06"/>
    <s v="Withdrawal"/>
    <s v="Wallet"/>
    <s v="iOS"/>
    <s v="Delhi"/>
    <n v="901"/>
    <x v="15"/>
    <n v="3"/>
    <n v="19260.36"/>
    <n v="0"/>
    <n v="6.9000000000000006E-2"/>
    <n v="6"/>
    <x v="1"/>
  </r>
  <r>
    <s v="T46"/>
    <s v="U1899"/>
    <n v="33142.99"/>
    <s v="Withdrawal"/>
    <s v="NetBanking"/>
    <s v="Web"/>
    <s v="Mumbai"/>
    <n v="1022"/>
    <x v="7"/>
    <n v="0"/>
    <n v="15151.97"/>
    <n v="0"/>
    <n v="0.17799999999999999"/>
    <n v="3"/>
    <x v="1"/>
  </r>
  <r>
    <s v="T47"/>
    <s v="U7634"/>
    <n v="15619.97"/>
    <s v="Payment"/>
    <s v="NetBanking"/>
    <s v="Web"/>
    <s v="Delhi"/>
    <n v="29"/>
    <x v="14"/>
    <n v="0"/>
    <n v="1863.83"/>
    <n v="1"/>
    <n v="0.56599999999999995"/>
    <n v="2"/>
    <x v="1"/>
  </r>
  <r>
    <s v="T48"/>
    <s v="U6799"/>
    <n v="26027.4"/>
    <s v="Withdrawal"/>
    <s v="UPI"/>
    <s v="iOS"/>
    <s v="Chennai"/>
    <n v="1068"/>
    <x v="12"/>
    <n v="4"/>
    <n v="15071.78"/>
    <n v="1"/>
    <n v="0.93600000000000005"/>
    <n v="3"/>
    <x v="1"/>
  </r>
  <r>
    <s v="T49"/>
    <s v="U9575"/>
    <n v="27358.18"/>
    <s v="Payment"/>
    <s v="UPI"/>
    <s v="Android"/>
    <s v="Mumbai"/>
    <n v="1898"/>
    <x v="6"/>
    <n v="1"/>
    <n v="773.74"/>
    <n v="0"/>
    <n v="0.747"/>
    <n v="4"/>
    <x v="1"/>
  </r>
  <r>
    <s v="T50"/>
    <s v="U6463"/>
    <n v="9283.48"/>
    <s v="Withdrawal"/>
    <s v="Wallet"/>
    <s v="Android"/>
    <s v="Mumbai"/>
    <n v="764"/>
    <x v="9"/>
    <n v="0"/>
    <n v="5500.18"/>
    <n v="0"/>
    <n v="0.23899999999999999"/>
    <n v="1"/>
    <x v="1"/>
  </r>
  <r>
    <s v="T51"/>
    <s v="U9688"/>
    <n v="48480.75"/>
    <s v="Transfer"/>
    <s v="Wallet"/>
    <s v="Web"/>
    <s v="Mumbai"/>
    <n v="1476"/>
    <x v="18"/>
    <n v="3"/>
    <n v="11684.09"/>
    <n v="0"/>
    <n v="0.36199999999999999"/>
    <n v="4"/>
    <x v="1"/>
  </r>
  <r>
    <s v="T52"/>
    <s v="U8581"/>
    <n v="38767.879999999997"/>
    <s v="Withdrawal"/>
    <s v="UPI"/>
    <s v="Web"/>
    <s v="Bangalore"/>
    <n v="950"/>
    <x v="1"/>
    <n v="0"/>
    <n v="16584.12"/>
    <n v="0"/>
    <n v="0.33500000000000002"/>
    <n v="6"/>
    <x v="1"/>
  </r>
  <r>
    <s v="T53"/>
    <s v="U9669"/>
    <n v="46977.97"/>
    <s v="Payment"/>
    <s v="NetBanking"/>
    <s v="iOS"/>
    <s v="Chennai"/>
    <n v="279"/>
    <x v="12"/>
    <n v="2"/>
    <n v="5626.06"/>
    <n v="0"/>
    <n v="0.77"/>
    <n v="5"/>
    <x v="1"/>
  </r>
  <r>
    <s v="T54"/>
    <s v="U8665"/>
    <n v="44746.63"/>
    <s v="Payment"/>
    <s v="Wallet"/>
    <s v="Web"/>
    <s v="Bangalore"/>
    <n v="1768"/>
    <x v="11"/>
    <n v="3"/>
    <n v="8361.39"/>
    <n v="0"/>
    <n v="0.97199999999999998"/>
    <n v="5"/>
    <x v="1"/>
  </r>
  <r>
    <s v="T55"/>
    <s v="U2603"/>
    <n v="29915.1"/>
    <s v="Withdrawal"/>
    <s v="Card"/>
    <s v="Android"/>
    <s v="Mumbai"/>
    <n v="415"/>
    <x v="1"/>
    <n v="1"/>
    <n v="11288.91"/>
    <n v="0"/>
    <n v="0.35499999999999998"/>
    <n v="9"/>
    <x v="1"/>
  </r>
  <r>
    <s v="T56"/>
    <s v="U1488"/>
    <n v="46097.62"/>
    <s v="Transfer"/>
    <s v="Card"/>
    <s v="iOS"/>
    <s v="Bangalore"/>
    <n v="1541"/>
    <x v="12"/>
    <n v="3"/>
    <n v="5996.73"/>
    <n v="0"/>
    <n v="1.4999999999999999E-2"/>
    <n v="9"/>
    <x v="1"/>
  </r>
  <r>
    <s v="T57"/>
    <s v="U4896"/>
    <n v="4470.2"/>
    <s v="Payment"/>
    <s v="Card"/>
    <s v="iOS"/>
    <s v="Delhi"/>
    <n v="313"/>
    <x v="18"/>
    <n v="3"/>
    <n v="29963.03"/>
    <n v="0"/>
    <n v="0.93700000000000006"/>
    <n v="9"/>
    <x v="1"/>
  </r>
  <r>
    <s v="T58"/>
    <s v="U7117"/>
    <n v="9839.34"/>
    <s v="Payment"/>
    <s v="Wallet"/>
    <s v="Android"/>
    <s v="Bangalore"/>
    <n v="1703"/>
    <x v="1"/>
    <n v="0"/>
    <n v="24160.93"/>
    <n v="1"/>
    <n v="0.753"/>
    <n v="7"/>
    <x v="1"/>
  </r>
  <r>
    <s v="T59"/>
    <s v="U6287"/>
    <n v="2309.1"/>
    <s v="Payment"/>
    <s v="UPI"/>
    <s v="Android"/>
    <s v="Hyderabad"/>
    <n v="1318"/>
    <x v="9"/>
    <n v="3"/>
    <n v="24347"/>
    <n v="0"/>
    <n v="0.83399999999999996"/>
    <n v="9"/>
    <x v="1"/>
  </r>
  <r>
    <s v="T60"/>
    <s v="U3018"/>
    <n v="16300.25"/>
    <s v="Payment"/>
    <s v="UPI"/>
    <s v="iOS"/>
    <s v="Mumbai"/>
    <n v="1581"/>
    <x v="5"/>
    <n v="4"/>
    <n v="17109.03"/>
    <n v="0"/>
    <n v="0.20899999999999999"/>
    <n v="8"/>
    <x v="1"/>
  </r>
  <r>
    <s v="T61"/>
    <s v="U1357"/>
    <n v="19464.43"/>
    <s v="Payment"/>
    <s v="UPI"/>
    <s v="Web"/>
    <s v="Mumbai"/>
    <n v="1018"/>
    <x v="13"/>
    <n v="3"/>
    <n v="28843.61"/>
    <n v="0"/>
    <n v="0.64600000000000002"/>
    <n v="8"/>
    <x v="1"/>
  </r>
  <r>
    <s v="T62"/>
    <s v="U7561"/>
    <n v="13603.88"/>
    <s v="Transfer"/>
    <s v="Wallet"/>
    <s v="Android"/>
    <s v="Chennai"/>
    <n v="819"/>
    <x v="0"/>
    <n v="0"/>
    <n v="21992.799999999999"/>
    <n v="0"/>
    <n v="0.23300000000000001"/>
    <n v="5"/>
    <x v="1"/>
  </r>
  <r>
    <s v="T63"/>
    <s v="U8749"/>
    <n v="41445.440000000002"/>
    <s v="Withdrawal"/>
    <s v="Wallet"/>
    <s v="iOS"/>
    <s v="Delhi"/>
    <n v="1062"/>
    <x v="14"/>
    <n v="4"/>
    <n v="9993.27"/>
    <n v="0"/>
    <n v="1.2E-2"/>
    <n v="9"/>
    <x v="1"/>
  </r>
  <r>
    <s v="T64"/>
    <s v="U1808"/>
    <n v="17869.830000000002"/>
    <s v="Transfer"/>
    <s v="Card"/>
    <s v="Web"/>
    <s v="Chennai"/>
    <n v="400"/>
    <x v="3"/>
    <n v="1"/>
    <n v="18354.75"/>
    <n v="0"/>
    <n v="0.157"/>
    <n v="8"/>
    <x v="1"/>
  </r>
  <r>
    <s v="T65"/>
    <s v="U8448"/>
    <n v="14082.68"/>
    <s v="Transfer"/>
    <s v="Wallet"/>
    <s v="Web"/>
    <s v="Bangalore"/>
    <n v="1449"/>
    <x v="6"/>
    <n v="2"/>
    <n v="16356.63"/>
    <n v="0"/>
    <n v="0.92300000000000004"/>
    <n v="7"/>
    <x v="1"/>
  </r>
  <r>
    <s v="T66"/>
    <s v="U1709"/>
    <n v="27157.67"/>
    <s v="Payment"/>
    <s v="Card"/>
    <s v="iOS"/>
    <s v="Hyderabad"/>
    <n v="1942"/>
    <x v="21"/>
    <n v="3"/>
    <n v="17450.64"/>
    <n v="0"/>
    <n v="0.215"/>
    <n v="8"/>
    <x v="1"/>
  </r>
  <r>
    <s v="T67"/>
    <s v="U9847"/>
    <n v="7089.17"/>
    <s v="Transfer"/>
    <s v="Card"/>
    <s v="Android"/>
    <s v="Hyderabad"/>
    <n v="1800"/>
    <x v="6"/>
    <n v="4"/>
    <n v="24550.03"/>
    <n v="0"/>
    <n v="0.58499999999999996"/>
    <n v="9"/>
    <x v="1"/>
  </r>
  <r>
    <s v="T68"/>
    <s v="U1177"/>
    <n v="40119.74"/>
    <s v="Payment"/>
    <s v="UPI"/>
    <s v="Web"/>
    <s v="Hyderabad"/>
    <n v="918"/>
    <x v="3"/>
    <n v="4"/>
    <n v="15335.9"/>
    <n v="0"/>
    <n v="0.96799999999999997"/>
    <n v="7"/>
    <x v="1"/>
  </r>
  <r>
    <s v="T69"/>
    <s v="U3551"/>
    <n v="3773.8"/>
    <s v="Transfer"/>
    <s v="Wallet"/>
    <s v="Android"/>
    <s v="Hyderabad"/>
    <n v="1983"/>
    <x v="5"/>
    <n v="1"/>
    <n v="21886.35"/>
    <n v="0"/>
    <n v="7.5999999999999998E-2"/>
    <n v="9"/>
    <x v="1"/>
  </r>
  <r>
    <s v="T70"/>
    <s v="U5572"/>
    <n v="49345"/>
    <s v="Payment"/>
    <s v="UPI"/>
    <s v="iOS"/>
    <s v="Delhi"/>
    <n v="151"/>
    <x v="15"/>
    <n v="1"/>
    <n v="7592.84"/>
    <n v="0"/>
    <n v="0.80800000000000005"/>
    <n v="8"/>
    <x v="1"/>
  </r>
  <r>
    <s v="T71"/>
    <s v="U5611"/>
    <n v="38623.629999999997"/>
    <s v="Payment"/>
    <s v="UPI"/>
    <s v="Android"/>
    <s v="Bangalore"/>
    <n v="655"/>
    <x v="4"/>
    <n v="2"/>
    <n v="27968.65"/>
    <n v="0"/>
    <n v="0.59799999999999998"/>
    <n v="2"/>
    <x v="1"/>
  </r>
  <r>
    <s v="T72"/>
    <s v="U3282"/>
    <n v="9975.85"/>
    <s v="Transfer"/>
    <s v="Wallet"/>
    <s v="Web"/>
    <s v="Hyderabad"/>
    <n v="1689"/>
    <x v="20"/>
    <n v="2"/>
    <n v="2682.83"/>
    <n v="0"/>
    <n v="0.32300000000000001"/>
    <n v="3"/>
    <x v="1"/>
  </r>
  <r>
    <s v="T73"/>
    <s v="U1105"/>
    <n v="325.83"/>
    <s v="Transfer"/>
    <s v="Wallet"/>
    <s v="iOS"/>
    <s v="Mumbai"/>
    <n v="818"/>
    <x v="21"/>
    <n v="0"/>
    <n v="29808.04"/>
    <n v="0"/>
    <n v="0.36399999999999999"/>
    <n v="6"/>
    <x v="1"/>
  </r>
  <r>
    <s v="T74"/>
    <s v="U6842"/>
    <n v="40782.300000000003"/>
    <s v="Withdrawal"/>
    <s v="NetBanking"/>
    <s v="Web"/>
    <s v="Bangalore"/>
    <n v="957"/>
    <x v="15"/>
    <n v="2"/>
    <n v="19016.93"/>
    <n v="0"/>
    <n v="2.7E-2"/>
    <n v="6"/>
    <x v="1"/>
  </r>
  <r>
    <s v="T75"/>
    <s v="U7788"/>
    <n v="35357.519999999997"/>
    <s v="Withdrawal"/>
    <s v="Card"/>
    <s v="Web"/>
    <s v="Delhi"/>
    <n v="1913"/>
    <x v="22"/>
    <n v="2"/>
    <n v="14151.55"/>
    <n v="1"/>
    <n v="0.25600000000000001"/>
    <n v="7"/>
    <x v="1"/>
  </r>
  <r>
    <s v="T76"/>
    <s v="U4108"/>
    <n v="36463.910000000003"/>
    <s v="Withdrawal"/>
    <s v="NetBanking"/>
    <s v="iOS"/>
    <s v="Hyderabad"/>
    <n v="1374"/>
    <x v="13"/>
    <n v="4"/>
    <n v="9392.39"/>
    <n v="0"/>
    <n v="0.42299999999999999"/>
    <n v="2"/>
    <x v="1"/>
  </r>
  <r>
    <s v="T77"/>
    <s v="U9241"/>
    <n v="38574.949999999997"/>
    <s v="Transfer"/>
    <s v="Card"/>
    <s v="iOS"/>
    <s v="Delhi"/>
    <n v="254"/>
    <x v="16"/>
    <n v="3"/>
    <n v="12213.74"/>
    <n v="0"/>
    <n v="0.71699999999999997"/>
    <n v="1"/>
    <x v="1"/>
  </r>
  <r>
    <s v="T78"/>
    <s v="U1267"/>
    <n v="3748.53"/>
    <s v="Transfer"/>
    <s v="Card"/>
    <s v="Android"/>
    <s v="Hyderabad"/>
    <n v="775"/>
    <x v="16"/>
    <n v="3"/>
    <n v="23494.46"/>
    <n v="1"/>
    <n v="0.27500000000000002"/>
    <n v="5"/>
    <x v="1"/>
  </r>
  <r>
    <s v="T79"/>
    <s v="U5248"/>
    <n v="17955.36"/>
    <s v="Payment"/>
    <s v="Card"/>
    <s v="iOS"/>
    <s v="Mumbai"/>
    <n v="885"/>
    <x v="7"/>
    <n v="2"/>
    <n v="4269.05"/>
    <n v="0"/>
    <n v="0.57999999999999996"/>
    <n v="2"/>
    <x v="1"/>
  </r>
  <r>
    <s v="T80"/>
    <s v="U6998"/>
    <n v="5837.66"/>
    <s v="Withdrawal"/>
    <s v="UPI"/>
    <s v="Android"/>
    <s v="Bangalore"/>
    <n v="921"/>
    <x v="2"/>
    <n v="0"/>
    <n v="7655.29"/>
    <n v="0"/>
    <n v="0.73199999999999998"/>
    <n v="9"/>
    <x v="1"/>
  </r>
  <r>
    <s v="T81"/>
    <s v="U3877"/>
    <n v="43162.02"/>
    <s v="Payment"/>
    <s v="UPI"/>
    <s v="iOS"/>
    <s v="Mumbai"/>
    <n v="1038"/>
    <x v="17"/>
    <n v="0"/>
    <n v="3799.45"/>
    <n v="0"/>
    <n v="0.69899999999999995"/>
    <n v="3"/>
    <x v="1"/>
  </r>
  <r>
    <s v="T82"/>
    <s v="U1520"/>
    <n v="31183.74"/>
    <s v="Payment"/>
    <s v="Wallet"/>
    <s v="Web"/>
    <s v="Hyderabad"/>
    <n v="929"/>
    <x v="7"/>
    <n v="3"/>
    <n v="12856.97"/>
    <n v="0"/>
    <n v="0.59"/>
    <n v="2"/>
    <x v="1"/>
  </r>
  <r>
    <s v="T83"/>
    <s v="U1170"/>
    <n v="16578.36"/>
    <s v="Payment"/>
    <s v="Card"/>
    <s v="Android"/>
    <s v="Chennai"/>
    <n v="948"/>
    <x v="16"/>
    <n v="1"/>
    <n v="11677.96"/>
    <n v="0"/>
    <n v="0.57999999999999996"/>
    <n v="7"/>
    <x v="1"/>
  </r>
  <r>
    <s v="T84"/>
    <s v="U5484"/>
    <n v="3224.74"/>
    <s v="Payment"/>
    <s v="Card"/>
    <s v="iOS"/>
    <s v="Bangalore"/>
    <n v="458"/>
    <x v="21"/>
    <n v="4"/>
    <n v="19498.669999999998"/>
    <n v="0"/>
    <n v="0.72099999999999997"/>
    <n v="6"/>
    <x v="1"/>
  </r>
  <r>
    <s v="T85"/>
    <s v="U9322"/>
    <n v="15583.57"/>
    <s v="Withdrawal"/>
    <s v="Card"/>
    <s v="Android"/>
    <s v="Delhi"/>
    <n v="275"/>
    <x v="7"/>
    <n v="2"/>
    <n v="29871.91"/>
    <n v="0"/>
    <n v="0.33600000000000002"/>
    <n v="8"/>
    <x v="1"/>
  </r>
  <r>
    <s v="T86"/>
    <s v="U3983"/>
    <n v="16292.91"/>
    <s v="Payment"/>
    <s v="UPI"/>
    <s v="Android"/>
    <s v="Hyderabad"/>
    <n v="1524"/>
    <x v="9"/>
    <n v="4"/>
    <n v="26781.54"/>
    <n v="0"/>
    <n v="0.45"/>
    <n v="9"/>
    <x v="1"/>
  </r>
  <r>
    <s v="T87"/>
    <s v="U2552"/>
    <n v="36493.83"/>
    <s v="Transfer"/>
    <s v="Wallet"/>
    <s v="Android"/>
    <s v="Mumbai"/>
    <n v="1272"/>
    <x v="21"/>
    <n v="2"/>
    <n v="26423.29"/>
    <n v="0"/>
    <n v="0.96599999999999997"/>
    <n v="3"/>
    <x v="1"/>
  </r>
  <r>
    <s v="T88"/>
    <s v="U3989"/>
    <n v="31896"/>
    <s v="Transfer"/>
    <s v="UPI"/>
    <s v="Web"/>
    <s v="Chennai"/>
    <n v="259"/>
    <x v="15"/>
    <n v="2"/>
    <n v="19406.669999999998"/>
    <n v="0"/>
    <n v="0.66900000000000004"/>
    <n v="8"/>
    <x v="1"/>
  </r>
  <r>
    <s v="T89"/>
    <s v="U4029"/>
    <n v="44366.28"/>
    <s v="Transfer"/>
    <s v="NetBanking"/>
    <s v="iOS"/>
    <s v="Hyderabad"/>
    <n v="964"/>
    <x v="5"/>
    <n v="3"/>
    <n v="8191.19"/>
    <n v="0"/>
    <n v="0.52"/>
    <n v="4"/>
    <x v="1"/>
  </r>
  <r>
    <s v="T90"/>
    <s v="U5882"/>
    <n v="23637.14"/>
    <s v="Withdrawal"/>
    <s v="NetBanking"/>
    <s v="iOS"/>
    <s v="Delhi"/>
    <n v="1324"/>
    <x v="21"/>
    <n v="4"/>
    <n v="11584.16"/>
    <n v="0"/>
    <n v="0.57799999999999996"/>
    <n v="2"/>
    <x v="1"/>
  </r>
  <r>
    <s v="T91"/>
    <s v="U4389"/>
    <n v="6023.73"/>
    <s v="Payment"/>
    <s v="NetBanking"/>
    <s v="Android"/>
    <s v="Mumbai"/>
    <n v="552"/>
    <x v="14"/>
    <n v="4"/>
    <n v="7578.65"/>
    <n v="0"/>
    <n v="0.104"/>
    <n v="4"/>
    <x v="1"/>
  </r>
  <r>
    <s v="T92"/>
    <s v="U4396"/>
    <n v="35676.58"/>
    <s v="Withdrawal"/>
    <s v="Wallet"/>
    <s v="iOS"/>
    <s v="Bangalore"/>
    <n v="641"/>
    <x v="23"/>
    <n v="1"/>
    <n v="4139.01"/>
    <n v="0"/>
    <n v="0.59199999999999997"/>
    <n v="4"/>
    <x v="1"/>
  </r>
  <r>
    <s v="T93"/>
    <s v="U8733"/>
    <n v="38051.21"/>
    <s v="Payment"/>
    <s v="NetBanking"/>
    <s v="Web"/>
    <s v="Chennai"/>
    <n v="1112"/>
    <x v="6"/>
    <n v="1"/>
    <n v="13137.33"/>
    <n v="0"/>
    <n v="0.83599999999999997"/>
    <n v="8"/>
    <x v="1"/>
  </r>
  <r>
    <s v="T94"/>
    <s v="U4576"/>
    <n v="28085.8"/>
    <s v="Withdrawal"/>
    <s v="Wallet"/>
    <s v="Android"/>
    <s v="Hyderabad"/>
    <n v="916"/>
    <x v="10"/>
    <n v="4"/>
    <n v="26936.3"/>
    <n v="0"/>
    <n v="0.52400000000000002"/>
    <n v="8"/>
    <x v="1"/>
  </r>
  <r>
    <s v="T95"/>
    <s v="U3234"/>
    <n v="38559.81"/>
    <s v="Withdrawal"/>
    <s v="UPI"/>
    <s v="Web"/>
    <s v="Hyderabad"/>
    <n v="530"/>
    <x v="20"/>
    <n v="1"/>
    <n v="22340.85"/>
    <n v="0"/>
    <n v="0.17699999999999999"/>
    <n v="7"/>
    <x v="1"/>
  </r>
  <r>
    <s v="T96"/>
    <s v="U1521"/>
    <n v="24715.09"/>
    <s v="Payment"/>
    <s v="UPI"/>
    <s v="Web"/>
    <s v="Hyderabad"/>
    <n v="1483"/>
    <x v="3"/>
    <n v="1"/>
    <n v="29546.65"/>
    <n v="0"/>
    <n v="0.44800000000000001"/>
    <n v="4"/>
    <x v="1"/>
  </r>
  <r>
    <s v="T97"/>
    <s v="U4929"/>
    <n v="26160.5"/>
    <s v="Withdrawal"/>
    <s v="Wallet"/>
    <s v="iOS"/>
    <s v="Hyderabad"/>
    <n v="1589"/>
    <x v="2"/>
    <n v="2"/>
    <n v="5925.03"/>
    <n v="0"/>
    <n v="0.27800000000000002"/>
    <n v="2"/>
    <x v="1"/>
  </r>
  <r>
    <s v="T98"/>
    <s v="U1472"/>
    <n v="21405.67"/>
    <s v="Payment"/>
    <s v="UPI"/>
    <s v="iOS"/>
    <s v="Mumbai"/>
    <n v="893"/>
    <x v="2"/>
    <n v="3"/>
    <n v="15066.27"/>
    <n v="0"/>
    <n v="0.36"/>
    <n v="1"/>
    <x v="1"/>
  </r>
  <r>
    <s v="T99"/>
    <s v="U1266"/>
    <n v="1319.69"/>
    <s v="Transfer"/>
    <s v="UPI"/>
    <s v="Android"/>
    <s v="Bangalore"/>
    <n v="743"/>
    <x v="7"/>
    <n v="2"/>
    <n v="23812.080000000002"/>
    <n v="0"/>
    <n v="0.22500000000000001"/>
    <n v="2"/>
    <x v="1"/>
  </r>
  <r>
    <s v="T100"/>
    <s v="U8394"/>
    <n v="5439.18"/>
    <s v="Transfer"/>
    <s v="Wallet"/>
    <s v="Web"/>
    <s v="Delhi"/>
    <n v="153"/>
    <x v="12"/>
    <n v="1"/>
    <n v="13867.79"/>
    <n v="0"/>
    <n v="0.33400000000000002"/>
    <n v="2"/>
    <x v="1"/>
  </r>
  <r>
    <s v="T101"/>
    <s v="U7803"/>
    <n v="1619.89"/>
    <s v="Transfer"/>
    <s v="NetBanking"/>
    <s v="iOS"/>
    <s v="Chennai"/>
    <n v="1153"/>
    <x v="16"/>
    <n v="2"/>
    <n v="10716.13"/>
    <n v="0"/>
    <n v="0.82199999999999995"/>
    <n v="3"/>
    <x v="1"/>
  </r>
  <r>
    <s v="T102"/>
    <s v="U7909"/>
    <n v="31838.7"/>
    <s v="Withdrawal"/>
    <s v="Wallet"/>
    <s v="Android"/>
    <s v="Hyderabad"/>
    <n v="953"/>
    <x v="12"/>
    <n v="2"/>
    <n v="24495.02"/>
    <n v="1"/>
    <n v="0.75800000000000001"/>
    <n v="5"/>
    <x v="1"/>
  </r>
  <r>
    <s v="T103"/>
    <s v="U5779"/>
    <n v="15752.08"/>
    <s v="Transfer"/>
    <s v="Card"/>
    <s v="Android"/>
    <s v="Hyderabad"/>
    <n v="574"/>
    <x v="6"/>
    <n v="0"/>
    <n v="12966.21"/>
    <n v="0"/>
    <n v="0.49099999999999999"/>
    <n v="1"/>
    <x v="1"/>
  </r>
  <r>
    <s v="T104"/>
    <s v="U1616"/>
    <n v="25453.11"/>
    <s v="Payment"/>
    <s v="UPI"/>
    <s v="iOS"/>
    <s v="Bangalore"/>
    <n v="1610"/>
    <x v="17"/>
    <n v="2"/>
    <n v="27397.73"/>
    <n v="0"/>
    <n v="0.78300000000000003"/>
    <n v="5"/>
    <x v="2"/>
  </r>
  <r>
    <s v="T105"/>
    <s v="U6888"/>
    <n v="45382.95"/>
    <s v="Transfer"/>
    <s v="Wallet"/>
    <s v="Web"/>
    <s v="Bangalore"/>
    <n v="1209"/>
    <x v="22"/>
    <n v="2"/>
    <n v="8125.2"/>
    <n v="0"/>
    <n v="0.97599999999999998"/>
    <n v="7"/>
    <x v="1"/>
  </r>
  <r>
    <s v="T106"/>
    <s v="U1735"/>
    <n v="12502.15"/>
    <s v="Transfer"/>
    <s v="UPI"/>
    <s v="Android"/>
    <s v="Mumbai"/>
    <n v="79"/>
    <x v="3"/>
    <n v="3"/>
    <n v="26903.97"/>
    <n v="0"/>
    <n v="0.40600000000000003"/>
    <n v="1"/>
    <x v="1"/>
  </r>
  <r>
    <s v="T107"/>
    <s v="U2553"/>
    <n v="20548.63"/>
    <s v="Withdrawal"/>
    <s v="NetBanking"/>
    <s v="iOS"/>
    <s v="Mumbai"/>
    <n v="1847"/>
    <x v="7"/>
    <n v="4"/>
    <n v="8425.98"/>
    <n v="0"/>
    <n v="0.98"/>
    <n v="4"/>
    <x v="1"/>
  </r>
  <r>
    <s v="T108"/>
    <s v="U9301"/>
    <n v="37789.78"/>
    <s v="Payment"/>
    <s v="UPI"/>
    <s v="Android"/>
    <s v="Mumbai"/>
    <n v="642"/>
    <x v="11"/>
    <n v="0"/>
    <n v="8757.9699999999993"/>
    <n v="0"/>
    <n v="0.246"/>
    <n v="2"/>
    <x v="1"/>
  </r>
  <r>
    <s v="T109"/>
    <s v="U3195"/>
    <n v="11478.47"/>
    <s v="Withdrawal"/>
    <s v="Wallet"/>
    <s v="iOS"/>
    <s v="Chennai"/>
    <n v="898"/>
    <x v="21"/>
    <n v="0"/>
    <n v="12675.47"/>
    <n v="0"/>
    <n v="0.95499999999999996"/>
    <n v="8"/>
    <x v="1"/>
  </r>
  <r>
    <s v="T110"/>
    <s v="U9467"/>
    <n v="3895.15"/>
    <s v="Withdrawal"/>
    <s v="NetBanking"/>
    <s v="Android"/>
    <s v="Mumbai"/>
    <n v="1236"/>
    <x v="11"/>
    <n v="0"/>
    <n v="15522.77"/>
    <n v="0"/>
    <n v="0.86399999999999999"/>
    <n v="2"/>
    <x v="1"/>
  </r>
  <r>
    <s v="T111"/>
    <s v="U9234"/>
    <n v="14523.09"/>
    <s v="Payment"/>
    <s v="NetBanking"/>
    <s v="Web"/>
    <s v="Hyderabad"/>
    <n v="810"/>
    <x v="4"/>
    <n v="0"/>
    <n v="12604.93"/>
    <n v="0"/>
    <n v="0.19900000000000001"/>
    <n v="1"/>
    <x v="1"/>
  </r>
  <r>
    <s v="T112"/>
    <s v="U9082"/>
    <n v="8103"/>
    <s v="Withdrawal"/>
    <s v="NetBanking"/>
    <s v="Android"/>
    <s v="Mumbai"/>
    <n v="189"/>
    <x v="20"/>
    <n v="3"/>
    <n v="25878.26"/>
    <n v="1"/>
    <n v="0.35"/>
    <n v="2"/>
    <x v="1"/>
  </r>
  <r>
    <s v="T113"/>
    <s v="U8186"/>
    <n v="46488.4"/>
    <s v="Payment"/>
    <s v="Card"/>
    <s v="iOS"/>
    <s v="Chennai"/>
    <n v="602"/>
    <x v="8"/>
    <n v="4"/>
    <n v="23887.52"/>
    <n v="0"/>
    <n v="0.70799999999999996"/>
    <n v="4"/>
    <x v="1"/>
  </r>
  <r>
    <s v="T114"/>
    <s v="U9675"/>
    <n v="40415.61"/>
    <s v="Transfer"/>
    <s v="Wallet"/>
    <s v="iOS"/>
    <s v="Mumbai"/>
    <n v="576"/>
    <x v="10"/>
    <n v="3"/>
    <n v="9364.92"/>
    <n v="0"/>
    <n v="0.192"/>
    <n v="5"/>
    <x v="1"/>
  </r>
  <r>
    <s v="T115"/>
    <s v="U2339"/>
    <n v="31688.52"/>
    <s v="Payment"/>
    <s v="Wallet"/>
    <s v="iOS"/>
    <s v="Mumbai"/>
    <n v="700"/>
    <x v="13"/>
    <n v="0"/>
    <n v="15394.44"/>
    <n v="0"/>
    <n v="0.59099999999999997"/>
    <n v="2"/>
    <x v="1"/>
  </r>
  <r>
    <s v="T116"/>
    <s v="U5538"/>
    <n v="43579.46"/>
    <s v="Payment"/>
    <s v="NetBanking"/>
    <s v="Web"/>
    <s v="Hyderabad"/>
    <n v="1643"/>
    <x v="12"/>
    <n v="4"/>
    <n v="12987.79"/>
    <n v="0"/>
    <n v="0.53500000000000003"/>
    <n v="4"/>
    <x v="1"/>
  </r>
  <r>
    <s v="T117"/>
    <s v="U4935"/>
    <n v="40193.42"/>
    <s v="Payment"/>
    <s v="UPI"/>
    <s v="iOS"/>
    <s v="Hyderabad"/>
    <n v="1143"/>
    <x v="12"/>
    <n v="3"/>
    <n v="1776.5"/>
    <n v="1"/>
    <n v="0.29199999999999998"/>
    <n v="7"/>
    <x v="1"/>
  </r>
  <r>
    <s v="T118"/>
    <s v="U3759"/>
    <n v="9369.17"/>
    <s v="Withdrawal"/>
    <s v="NetBanking"/>
    <s v="iOS"/>
    <s v="Hyderabad"/>
    <n v="1457"/>
    <x v="8"/>
    <n v="4"/>
    <n v="22469.59"/>
    <n v="1"/>
    <n v="0.30099999999999999"/>
    <n v="5"/>
    <x v="1"/>
  </r>
  <r>
    <s v="T119"/>
    <s v="U2322"/>
    <n v="44633.32"/>
    <s v="Payment"/>
    <s v="Card"/>
    <s v="Web"/>
    <s v="Mumbai"/>
    <n v="674"/>
    <x v="3"/>
    <n v="3"/>
    <n v="5531.83"/>
    <n v="1"/>
    <n v="0.51600000000000001"/>
    <n v="8"/>
    <x v="1"/>
  </r>
  <r>
    <s v="T120"/>
    <s v="U9154"/>
    <n v="26990.14"/>
    <s v="Payment"/>
    <s v="NetBanking"/>
    <s v="iOS"/>
    <s v="Hyderabad"/>
    <n v="1992"/>
    <x v="16"/>
    <n v="4"/>
    <n v="28030.84"/>
    <n v="0"/>
    <n v="0.3"/>
    <n v="9"/>
    <x v="1"/>
  </r>
  <r>
    <s v="T121"/>
    <s v="U7077"/>
    <n v="40381.64"/>
    <s v="Payment"/>
    <s v="Wallet"/>
    <s v="iOS"/>
    <s v="Bangalore"/>
    <n v="1536"/>
    <x v="9"/>
    <n v="3"/>
    <n v="11993.57"/>
    <n v="0"/>
    <n v="0.18"/>
    <n v="1"/>
    <x v="1"/>
  </r>
  <r>
    <s v="T122"/>
    <s v="U5583"/>
    <n v="44809.760000000002"/>
    <s v="Transfer"/>
    <s v="NetBanking"/>
    <s v="Web"/>
    <s v="Delhi"/>
    <n v="415"/>
    <x v="23"/>
    <n v="0"/>
    <n v="18705.509999999998"/>
    <n v="0"/>
    <n v="0.77300000000000002"/>
    <n v="1"/>
    <x v="1"/>
  </r>
  <r>
    <s v="T123"/>
    <s v="U2161"/>
    <n v="15934.27"/>
    <s v="Payment"/>
    <s v="UPI"/>
    <s v="Android"/>
    <s v="Delhi"/>
    <n v="995"/>
    <x v="4"/>
    <n v="0"/>
    <n v="24567.15"/>
    <n v="0"/>
    <n v="0.58199999999999996"/>
    <n v="3"/>
    <x v="2"/>
  </r>
  <r>
    <s v="T124"/>
    <s v="U7575"/>
    <n v="5547.09"/>
    <s v="Withdrawal"/>
    <s v="Wallet"/>
    <s v="iOS"/>
    <s v="Hyderabad"/>
    <n v="646"/>
    <x v="22"/>
    <n v="0"/>
    <n v="5490.87"/>
    <n v="1"/>
    <n v="0.438"/>
    <n v="8"/>
    <x v="1"/>
  </r>
  <r>
    <s v="T125"/>
    <s v="U4491"/>
    <n v="11435.36"/>
    <s v="Payment"/>
    <s v="UPI"/>
    <s v="Android"/>
    <s v="Chennai"/>
    <n v="1124"/>
    <x v="2"/>
    <n v="3"/>
    <n v="16279.98"/>
    <n v="0"/>
    <n v="0.18099999999999999"/>
    <n v="1"/>
    <x v="1"/>
  </r>
  <r>
    <s v="T126"/>
    <s v="U5632"/>
    <n v="21384.03"/>
    <s v="Payment"/>
    <s v="NetBanking"/>
    <s v="Web"/>
    <s v="Hyderabad"/>
    <n v="1327"/>
    <x v="4"/>
    <n v="4"/>
    <n v="7198.85"/>
    <n v="0"/>
    <n v="0.59399999999999997"/>
    <n v="2"/>
    <x v="1"/>
  </r>
  <r>
    <s v="T127"/>
    <s v="U6524"/>
    <n v="40909.839999999997"/>
    <s v="Transfer"/>
    <s v="Wallet"/>
    <s v="iOS"/>
    <s v="Hyderabad"/>
    <n v="1426"/>
    <x v="19"/>
    <n v="4"/>
    <n v="15339.16"/>
    <n v="0"/>
    <n v="0.629"/>
    <n v="1"/>
    <x v="1"/>
  </r>
  <r>
    <s v="T128"/>
    <s v="U3140"/>
    <n v="43043.49"/>
    <s v="Payment"/>
    <s v="Card"/>
    <s v="iOS"/>
    <s v="Mumbai"/>
    <n v="1070"/>
    <x v="3"/>
    <n v="1"/>
    <n v="17425.14"/>
    <n v="0"/>
    <n v="0.48"/>
    <n v="1"/>
    <x v="1"/>
  </r>
  <r>
    <s v="T129"/>
    <s v="U5039"/>
    <n v="397.26"/>
    <s v="Withdrawal"/>
    <s v="Wallet"/>
    <s v="Web"/>
    <s v="Chennai"/>
    <n v="526"/>
    <x v="1"/>
    <n v="2"/>
    <n v="5157.32"/>
    <n v="0"/>
    <n v="0.373"/>
    <n v="9"/>
    <x v="1"/>
  </r>
  <r>
    <s v="T130"/>
    <s v="U1958"/>
    <n v="25561.83"/>
    <s v="Payment"/>
    <s v="UPI"/>
    <s v="iOS"/>
    <s v="Hyderabad"/>
    <n v="859"/>
    <x v="11"/>
    <n v="0"/>
    <n v="17466.48"/>
    <n v="0"/>
    <n v="0.86699999999999999"/>
    <n v="1"/>
    <x v="1"/>
  </r>
  <r>
    <s v="T131"/>
    <s v="U5840"/>
    <n v="20899.68"/>
    <s v="Withdrawal"/>
    <s v="Wallet"/>
    <s v="Android"/>
    <s v="Bangalore"/>
    <n v="1695"/>
    <x v="20"/>
    <n v="0"/>
    <n v="13701.75"/>
    <n v="0"/>
    <n v="0.70499999999999996"/>
    <n v="4"/>
    <x v="1"/>
  </r>
  <r>
    <s v="T132"/>
    <s v="U3019"/>
    <n v="11144.29"/>
    <s v="Transfer"/>
    <s v="Card"/>
    <s v="Android"/>
    <s v="Delhi"/>
    <n v="1911"/>
    <x v="20"/>
    <n v="0"/>
    <n v="15707.79"/>
    <n v="0"/>
    <n v="0.35599999999999998"/>
    <n v="7"/>
    <x v="1"/>
  </r>
  <r>
    <s v="T133"/>
    <s v="U2050"/>
    <n v="6037.28"/>
    <s v="Payment"/>
    <s v="Card"/>
    <s v="Web"/>
    <s v="Bangalore"/>
    <n v="917"/>
    <x v="22"/>
    <n v="1"/>
    <n v="27158.51"/>
    <n v="0"/>
    <n v="0.59299999999999997"/>
    <n v="5"/>
    <x v="1"/>
  </r>
  <r>
    <s v="T134"/>
    <s v="U7905"/>
    <n v="16913.88"/>
    <s v="Transfer"/>
    <s v="Card"/>
    <s v="iOS"/>
    <s v="Bangalore"/>
    <n v="325"/>
    <x v="9"/>
    <n v="1"/>
    <n v="14565.71"/>
    <n v="0"/>
    <n v="0.23400000000000001"/>
    <n v="5"/>
    <x v="1"/>
  </r>
  <r>
    <s v="T135"/>
    <s v="U1699"/>
    <n v="47148.34"/>
    <s v="Payment"/>
    <s v="Card"/>
    <s v="iOS"/>
    <s v="Bangalore"/>
    <n v="1205"/>
    <x v="5"/>
    <n v="1"/>
    <n v="14336.84"/>
    <n v="0"/>
    <n v="1.0999999999999999E-2"/>
    <n v="7"/>
    <x v="1"/>
  </r>
  <r>
    <s v="T136"/>
    <s v="U2974"/>
    <n v="16193.99"/>
    <s v="Withdrawal"/>
    <s v="UPI"/>
    <s v="Web"/>
    <s v="Chennai"/>
    <n v="1439"/>
    <x v="0"/>
    <n v="0"/>
    <n v="14164.92"/>
    <n v="0"/>
    <n v="0.86899999999999999"/>
    <n v="6"/>
    <x v="1"/>
  </r>
  <r>
    <s v="T137"/>
    <s v="U2686"/>
    <n v="25963.59"/>
    <s v="Transfer"/>
    <s v="Wallet"/>
    <s v="Android"/>
    <s v="Chennai"/>
    <n v="1295"/>
    <x v="10"/>
    <n v="4"/>
    <n v="18730.849999999999"/>
    <n v="0"/>
    <n v="0.81899999999999995"/>
    <n v="6"/>
    <x v="2"/>
  </r>
  <r>
    <s v="T138"/>
    <s v="U2979"/>
    <n v="35165.800000000003"/>
    <s v="Payment"/>
    <s v="NetBanking"/>
    <s v="Android"/>
    <s v="Chennai"/>
    <n v="1517"/>
    <x v="3"/>
    <n v="0"/>
    <n v="11088.77"/>
    <n v="1"/>
    <n v="0.63900000000000001"/>
    <n v="8"/>
    <x v="1"/>
  </r>
  <r>
    <s v="T139"/>
    <s v="U6022"/>
    <n v="18213.3"/>
    <s v="Withdrawal"/>
    <s v="Card"/>
    <s v="Web"/>
    <s v="Delhi"/>
    <n v="36"/>
    <x v="17"/>
    <n v="1"/>
    <n v="24060.67"/>
    <n v="0"/>
    <n v="0.81100000000000005"/>
    <n v="9"/>
    <x v="1"/>
  </r>
  <r>
    <s v="T140"/>
    <s v="U5263"/>
    <n v="48590.52"/>
    <s v="Transfer"/>
    <s v="NetBanking"/>
    <s v="iOS"/>
    <s v="Mumbai"/>
    <n v="1528"/>
    <x v="8"/>
    <n v="1"/>
    <n v="8652.9"/>
    <n v="0"/>
    <n v="0.78100000000000003"/>
    <n v="2"/>
    <x v="1"/>
  </r>
  <r>
    <s v="T141"/>
    <s v="U1515"/>
    <n v="48124.24"/>
    <s v="Payment"/>
    <s v="NetBanking"/>
    <s v="Android"/>
    <s v="Hyderabad"/>
    <n v="64"/>
    <x v="4"/>
    <n v="2"/>
    <n v="9056.43"/>
    <n v="1"/>
    <n v="0.86"/>
    <n v="4"/>
    <x v="1"/>
  </r>
  <r>
    <s v="T142"/>
    <s v="U5875"/>
    <n v="12626.53"/>
    <s v="Transfer"/>
    <s v="Wallet"/>
    <s v="iOS"/>
    <s v="Hyderabad"/>
    <n v="1944"/>
    <x v="7"/>
    <n v="3"/>
    <n v="17703.63"/>
    <n v="0"/>
    <n v="0.89200000000000002"/>
    <n v="9"/>
    <x v="1"/>
  </r>
  <r>
    <s v="T143"/>
    <s v="U2726"/>
    <n v="24887.56"/>
    <s v="Payment"/>
    <s v="NetBanking"/>
    <s v="Android"/>
    <s v="Mumbai"/>
    <n v="1865"/>
    <x v="8"/>
    <n v="2"/>
    <n v="7870.69"/>
    <n v="0"/>
    <n v="0.81899999999999995"/>
    <n v="1"/>
    <x v="1"/>
  </r>
  <r>
    <s v="T144"/>
    <s v="U4077"/>
    <n v="15078.87"/>
    <s v="Withdrawal"/>
    <s v="NetBanking"/>
    <s v="iOS"/>
    <s v="Hyderabad"/>
    <n v="258"/>
    <x v="10"/>
    <n v="2"/>
    <n v="2789.39"/>
    <n v="0"/>
    <n v="0.85199999999999998"/>
    <n v="8"/>
    <x v="1"/>
  </r>
  <r>
    <s v="T145"/>
    <s v="U1247"/>
    <n v="14277.78"/>
    <s v="Withdrawal"/>
    <s v="UPI"/>
    <s v="Android"/>
    <s v="Bangalore"/>
    <n v="282"/>
    <x v="18"/>
    <n v="0"/>
    <n v="6247.01"/>
    <n v="0"/>
    <n v="0.502"/>
    <n v="1"/>
    <x v="1"/>
  </r>
  <r>
    <s v="T146"/>
    <s v="U3238"/>
    <n v="1892.5"/>
    <s v="Transfer"/>
    <s v="NetBanking"/>
    <s v="iOS"/>
    <s v="Delhi"/>
    <n v="1292"/>
    <x v="1"/>
    <n v="3"/>
    <n v="27418.36"/>
    <n v="0"/>
    <n v="0.70799999999999996"/>
    <n v="4"/>
    <x v="1"/>
  </r>
  <r>
    <s v="T147"/>
    <s v="U6324"/>
    <n v="30497.74"/>
    <s v="Transfer"/>
    <s v="Wallet"/>
    <s v="Web"/>
    <s v="Hyderabad"/>
    <n v="1811"/>
    <x v="7"/>
    <n v="3"/>
    <n v="419.95"/>
    <n v="0"/>
    <n v="0.33300000000000002"/>
    <n v="9"/>
    <x v="2"/>
  </r>
  <r>
    <s v="T148"/>
    <s v="U4212"/>
    <n v="25158.82"/>
    <s v="Payment"/>
    <s v="NetBanking"/>
    <s v="Android"/>
    <s v="Delhi"/>
    <n v="200"/>
    <x v="11"/>
    <n v="0"/>
    <n v="4090.5"/>
    <n v="1"/>
    <n v="0.86099999999999999"/>
    <n v="4"/>
    <x v="2"/>
  </r>
  <r>
    <s v="T149"/>
    <s v="U8724"/>
    <n v="2621.36"/>
    <s v="Withdrawal"/>
    <s v="Wallet"/>
    <s v="Web"/>
    <s v="Mumbai"/>
    <n v="584"/>
    <x v="15"/>
    <n v="4"/>
    <n v="22765.39"/>
    <n v="0"/>
    <n v="0.85899999999999999"/>
    <n v="5"/>
    <x v="1"/>
  </r>
  <r>
    <s v="T150"/>
    <s v="U7392"/>
    <n v="13968.39"/>
    <s v="Payment"/>
    <s v="Card"/>
    <s v="Android"/>
    <s v="Hyderabad"/>
    <n v="866"/>
    <x v="22"/>
    <n v="0"/>
    <n v="29397.84"/>
    <n v="1"/>
    <n v="6.6000000000000003E-2"/>
    <n v="9"/>
    <x v="1"/>
  </r>
  <r>
    <s v="T151"/>
    <s v="U9335"/>
    <n v="45417.88"/>
    <s v="Withdrawal"/>
    <s v="NetBanking"/>
    <s v="Android"/>
    <s v="Delhi"/>
    <n v="1479"/>
    <x v="7"/>
    <n v="4"/>
    <n v="20676.740000000002"/>
    <n v="0"/>
    <n v="0.34699999999999998"/>
    <n v="8"/>
    <x v="1"/>
  </r>
  <r>
    <s v="T152"/>
    <s v="U9792"/>
    <n v="12016.12"/>
    <s v="Transfer"/>
    <s v="NetBanking"/>
    <s v="Android"/>
    <s v="Bangalore"/>
    <n v="1886"/>
    <x v="22"/>
    <n v="4"/>
    <n v="27677.8"/>
    <n v="0"/>
    <n v="0.17100000000000001"/>
    <n v="1"/>
    <x v="1"/>
  </r>
  <r>
    <s v="T153"/>
    <s v="U9965"/>
    <n v="7287.5"/>
    <s v="Payment"/>
    <s v="NetBanking"/>
    <s v="iOS"/>
    <s v="Bangalore"/>
    <n v="1535"/>
    <x v="2"/>
    <n v="3"/>
    <n v="25671.55"/>
    <n v="0"/>
    <n v="0.13600000000000001"/>
    <n v="3"/>
    <x v="1"/>
  </r>
  <r>
    <s v="T154"/>
    <s v="U1732"/>
    <n v="24498.17"/>
    <s v="Payment"/>
    <s v="Card"/>
    <s v="Android"/>
    <s v="Mumbai"/>
    <n v="625"/>
    <x v="20"/>
    <n v="0"/>
    <n v="14451.11"/>
    <n v="1"/>
    <n v="0.41499999999999998"/>
    <n v="4"/>
    <x v="1"/>
  </r>
  <r>
    <s v="T155"/>
    <s v="U7026"/>
    <n v="49283.24"/>
    <s v="Withdrawal"/>
    <s v="UPI"/>
    <s v="Web"/>
    <s v="Chennai"/>
    <n v="1426"/>
    <x v="0"/>
    <n v="0"/>
    <n v="10072.35"/>
    <n v="0"/>
    <n v="0.626"/>
    <n v="3"/>
    <x v="1"/>
  </r>
  <r>
    <s v="T156"/>
    <s v="U7031"/>
    <n v="12140.66"/>
    <s v="Withdrawal"/>
    <s v="NetBanking"/>
    <s v="iOS"/>
    <s v="Hyderabad"/>
    <n v="1441"/>
    <x v="6"/>
    <n v="3"/>
    <n v="19003.91"/>
    <n v="0"/>
    <n v="0.34399999999999997"/>
    <n v="9"/>
    <x v="1"/>
  </r>
  <r>
    <s v="T157"/>
    <s v="U8987"/>
    <n v="33623.17"/>
    <s v="Withdrawal"/>
    <s v="Wallet"/>
    <s v="iOS"/>
    <s v="Bangalore"/>
    <n v="1833"/>
    <x v="7"/>
    <n v="2"/>
    <n v="16053.25"/>
    <n v="0"/>
    <n v="0.309"/>
    <n v="6"/>
    <x v="1"/>
  </r>
  <r>
    <s v="T158"/>
    <s v="U3605"/>
    <n v="38092.9"/>
    <s v="Transfer"/>
    <s v="UPI"/>
    <s v="Android"/>
    <s v="Bangalore"/>
    <n v="1804"/>
    <x v="12"/>
    <n v="0"/>
    <n v="872.3"/>
    <n v="0"/>
    <n v="9.4E-2"/>
    <n v="3"/>
    <x v="1"/>
  </r>
  <r>
    <s v="T159"/>
    <s v="U5651"/>
    <n v="11920"/>
    <s v="Payment"/>
    <s v="UPI"/>
    <s v="iOS"/>
    <s v="Mumbai"/>
    <n v="1027"/>
    <x v="1"/>
    <n v="1"/>
    <n v="28723.19"/>
    <n v="0"/>
    <n v="0.38300000000000001"/>
    <n v="8"/>
    <x v="1"/>
  </r>
  <r>
    <s v="T160"/>
    <s v="U5141"/>
    <n v="36424.410000000003"/>
    <s v="Withdrawal"/>
    <s v="UPI"/>
    <s v="Android"/>
    <s v="Bangalore"/>
    <n v="682"/>
    <x v="9"/>
    <n v="1"/>
    <n v="17150.400000000001"/>
    <n v="0"/>
    <n v="0.47099999999999997"/>
    <n v="9"/>
    <x v="1"/>
  </r>
  <r>
    <s v="T161"/>
    <s v="U4152"/>
    <n v="18420.77"/>
    <s v="Transfer"/>
    <s v="NetBanking"/>
    <s v="Web"/>
    <s v="Hyderabad"/>
    <n v="692"/>
    <x v="8"/>
    <n v="0"/>
    <n v="26247.3"/>
    <n v="0"/>
    <n v="0.39900000000000002"/>
    <n v="4"/>
    <x v="1"/>
  </r>
  <r>
    <s v="T162"/>
    <s v="U1106"/>
    <n v="31633.68"/>
    <s v="Withdrawal"/>
    <s v="Card"/>
    <s v="iOS"/>
    <s v="Mumbai"/>
    <n v="118"/>
    <x v="11"/>
    <n v="4"/>
    <n v="22065.439999999999"/>
    <n v="0"/>
    <n v="0.68"/>
    <n v="5"/>
    <x v="1"/>
  </r>
  <r>
    <s v="T163"/>
    <s v="U8583"/>
    <n v="31694.81"/>
    <s v="Payment"/>
    <s v="Card"/>
    <s v="iOS"/>
    <s v="Delhi"/>
    <n v="661"/>
    <x v="13"/>
    <n v="3"/>
    <n v="10290.91"/>
    <n v="1"/>
    <n v="0.28799999999999998"/>
    <n v="3"/>
    <x v="1"/>
  </r>
  <r>
    <s v="T164"/>
    <s v="U1077"/>
    <n v="26811.95"/>
    <s v="Withdrawal"/>
    <s v="NetBanking"/>
    <s v="Web"/>
    <s v="Mumbai"/>
    <n v="1638"/>
    <x v="11"/>
    <n v="4"/>
    <n v="27044.62"/>
    <n v="0"/>
    <n v="0.71599999999999997"/>
    <n v="5"/>
    <x v="1"/>
  </r>
  <r>
    <s v="T165"/>
    <s v="U1822"/>
    <n v="4559.97"/>
    <s v="Payment"/>
    <s v="Wallet"/>
    <s v="Web"/>
    <s v="Hyderabad"/>
    <n v="990"/>
    <x v="4"/>
    <n v="1"/>
    <n v="23733.63"/>
    <n v="0"/>
    <n v="0.88300000000000001"/>
    <n v="2"/>
    <x v="1"/>
  </r>
  <r>
    <s v="T166"/>
    <s v="U6928"/>
    <n v="41773.360000000001"/>
    <s v="Transfer"/>
    <s v="Wallet"/>
    <s v="Android"/>
    <s v="Hyderabad"/>
    <n v="1136"/>
    <x v="9"/>
    <n v="1"/>
    <n v="12950.77"/>
    <n v="0"/>
    <n v="0.59099999999999997"/>
    <n v="2"/>
    <x v="2"/>
  </r>
  <r>
    <s v="T167"/>
    <s v="U1821"/>
    <n v="16072.96"/>
    <s v="Transfer"/>
    <s v="Wallet"/>
    <s v="iOS"/>
    <s v="Delhi"/>
    <n v="235"/>
    <x v="23"/>
    <n v="3"/>
    <n v="25230.3"/>
    <n v="0"/>
    <n v="0.38900000000000001"/>
    <n v="5"/>
    <x v="1"/>
  </r>
  <r>
    <s v="T168"/>
    <s v="U7504"/>
    <n v="9366.6"/>
    <s v="Withdrawal"/>
    <s v="NetBanking"/>
    <s v="Web"/>
    <s v="Mumbai"/>
    <n v="362"/>
    <x v="0"/>
    <n v="1"/>
    <n v="8219.41"/>
    <n v="0"/>
    <n v="0.18"/>
    <n v="7"/>
    <x v="2"/>
  </r>
  <r>
    <s v="T169"/>
    <s v="U5838"/>
    <n v="2086.7199999999998"/>
    <s v="Payment"/>
    <s v="Card"/>
    <s v="iOS"/>
    <s v="Hyderabad"/>
    <n v="1193"/>
    <x v="6"/>
    <n v="2"/>
    <n v="20153.439999999999"/>
    <n v="0"/>
    <n v="0.93200000000000005"/>
    <n v="1"/>
    <x v="1"/>
  </r>
  <r>
    <s v="T170"/>
    <s v="U6924"/>
    <n v="29565.1"/>
    <s v="Payment"/>
    <s v="NetBanking"/>
    <s v="Web"/>
    <s v="Hyderabad"/>
    <n v="1437"/>
    <x v="22"/>
    <n v="1"/>
    <n v="3525.99"/>
    <n v="0"/>
    <n v="0.752"/>
    <n v="3"/>
    <x v="1"/>
  </r>
  <r>
    <s v="T171"/>
    <s v="U7781"/>
    <n v="33894.339999999997"/>
    <s v="Payment"/>
    <s v="Card"/>
    <s v="iOS"/>
    <s v="Delhi"/>
    <n v="1740"/>
    <x v="1"/>
    <n v="4"/>
    <n v="25986.46"/>
    <n v="0"/>
    <n v="0.246"/>
    <n v="1"/>
    <x v="1"/>
  </r>
  <r>
    <s v="T172"/>
    <s v="U3476"/>
    <n v="878.56"/>
    <s v="Withdrawal"/>
    <s v="UPI"/>
    <s v="Web"/>
    <s v="Chennai"/>
    <n v="1357"/>
    <x v="13"/>
    <n v="4"/>
    <n v="21910.04"/>
    <n v="0"/>
    <n v="0.151"/>
    <n v="8"/>
    <x v="1"/>
  </r>
  <r>
    <s v="T173"/>
    <s v="U5190"/>
    <n v="25629.05"/>
    <s v="Payment"/>
    <s v="NetBanking"/>
    <s v="iOS"/>
    <s v="Mumbai"/>
    <n v="154"/>
    <x v="16"/>
    <n v="2"/>
    <n v="4661.78"/>
    <n v="0"/>
    <n v="4.9000000000000002E-2"/>
    <n v="2"/>
    <x v="1"/>
  </r>
  <r>
    <s v="T174"/>
    <s v="U6775"/>
    <n v="11363.46"/>
    <s v="Payment"/>
    <s v="Card"/>
    <s v="Android"/>
    <s v="Hyderabad"/>
    <n v="1787"/>
    <x v="0"/>
    <n v="4"/>
    <n v="737.9"/>
    <n v="0"/>
    <n v="0.191"/>
    <n v="6"/>
    <x v="1"/>
  </r>
  <r>
    <s v="T175"/>
    <s v="U8577"/>
    <n v="32276.38"/>
    <s v="Payment"/>
    <s v="UPI"/>
    <s v="iOS"/>
    <s v="Bangalore"/>
    <n v="1498"/>
    <x v="10"/>
    <n v="4"/>
    <n v="11757.05"/>
    <n v="0"/>
    <n v="0.73199999999999998"/>
    <n v="6"/>
    <x v="1"/>
  </r>
  <r>
    <s v="T176"/>
    <s v="U5318"/>
    <n v="8759.6"/>
    <s v="Payment"/>
    <s v="UPI"/>
    <s v="Android"/>
    <s v="Delhi"/>
    <n v="924"/>
    <x v="13"/>
    <n v="4"/>
    <n v="20290.650000000001"/>
    <n v="0"/>
    <n v="0.63"/>
    <n v="9"/>
    <x v="1"/>
  </r>
  <r>
    <s v="T177"/>
    <s v="U3312"/>
    <n v="34562.339999999997"/>
    <s v="Withdrawal"/>
    <s v="NetBanking"/>
    <s v="Android"/>
    <s v="Chennai"/>
    <n v="1165"/>
    <x v="17"/>
    <n v="0"/>
    <n v="8566.11"/>
    <n v="0"/>
    <n v="0.96699999999999997"/>
    <n v="6"/>
    <x v="1"/>
  </r>
  <r>
    <s v="T178"/>
    <s v="U3335"/>
    <n v="19367.43"/>
    <s v="Withdrawal"/>
    <s v="Card"/>
    <s v="Android"/>
    <s v="Chennai"/>
    <n v="1126"/>
    <x v="15"/>
    <n v="2"/>
    <n v="29200.33"/>
    <n v="0"/>
    <n v="0.32200000000000001"/>
    <n v="6"/>
    <x v="1"/>
  </r>
  <r>
    <s v="T179"/>
    <s v="U1954"/>
    <n v="46839.66"/>
    <s v="Payment"/>
    <s v="UPI"/>
    <s v="iOS"/>
    <s v="Delhi"/>
    <n v="282"/>
    <x v="22"/>
    <n v="2"/>
    <n v="28046.97"/>
    <n v="0"/>
    <n v="0.78700000000000003"/>
    <n v="1"/>
    <x v="1"/>
  </r>
  <r>
    <s v="T180"/>
    <s v="U6362"/>
    <n v="6919.17"/>
    <s v="Payment"/>
    <s v="NetBanking"/>
    <s v="iOS"/>
    <s v="Chennai"/>
    <n v="1737"/>
    <x v="3"/>
    <n v="1"/>
    <n v="17978.419999999998"/>
    <n v="0"/>
    <n v="0.12"/>
    <n v="7"/>
    <x v="1"/>
  </r>
  <r>
    <s v="T181"/>
    <s v="U4441"/>
    <n v="17086.259999999998"/>
    <s v="Transfer"/>
    <s v="UPI"/>
    <s v="Android"/>
    <s v="Hyderabad"/>
    <n v="543"/>
    <x v="8"/>
    <n v="2"/>
    <n v="9536.41"/>
    <n v="0"/>
    <n v="0.56299999999999994"/>
    <n v="6"/>
    <x v="1"/>
  </r>
  <r>
    <s v="T182"/>
    <s v="U5334"/>
    <n v="5718"/>
    <s v="Transfer"/>
    <s v="Wallet"/>
    <s v="Web"/>
    <s v="Chennai"/>
    <n v="1227"/>
    <x v="11"/>
    <n v="3"/>
    <n v="26898.45"/>
    <n v="0"/>
    <n v="0.46700000000000003"/>
    <n v="8"/>
    <x v="1"/>
  </r>
  <r>
    <s v="T183"/>
    <s v="U4448"/>
    <n v="46238.45"/>
    <s v="Payment"/>
    <s v="NetBanking"/>
    <s v="iOS"/>
    <s v="Mumbai"/>
    <n v="1203"/>
    <x v="16"/>
    <n v="2"/>
    <n v="24123.78"/>
    <n v="0"/>
    <n v="0.83799999999999997"/>
    <n v="1"/>
    <x v="1"/>
  </r>
  <r>
    <s v="T184"/>
    <s v="U1666"/>
    <n v="43873.1"/>
    <s v="Payment"/>
    <s v="UPI"/>
    <s v="iOS"/>
    <s v="Bangalore"/>
    <n v="469"/>
    <x v="7"/>
    <n v="3"/>
    <n v="2676.02"/>
    <n v="0"/>
    <n v="0.70199999999999996"/>
    <n v="8"/>
    <x v="1"/>
  </r>
  <r>
    <s v="T185"/>
    <s v="U9132"/>
    <n v="12934.18"/>
    <s v="Transfer"/>
    <s v="NetBanking"/>
    <s v="iOS"/>
    <s v="Hyderabad"/>
    <n v="950"/>
    <x v="10"/>
    <n v="4"/>
    <n v="14342.05"/>
    <n v="0"/>
    <n v="0.19400000000000001"/>
    <n v="8"/>
    <x v="1"/>
  </r>
  <r>
    <s v="T186"/>
    <s v="U4137"/>
    <n v="33016.199999999997"/>
    <s v="Transfer"/>
    <s v="NetBanking"/>
    <s v="iOS"/>
    <s v="Delhi"/>
    <n v="1044"/>
    <x v="18"/>
    <n v="3"/>
    <n v="29438.33"/>
    <n v="0"/>
    <n v="0.98399999999999999"/>
    <n v="1"/>
    <x v="1"/>
  </r>
  <r>
    <s v="T187"/>
    <s v="U4280"/>
    <n v="40870.25"/>
    <s v="Payment"/>
    <s v="Card"/>
    <s v="Android"/>
    <s v="Bangalore"/>
    <n v="190"/>
    <x v="21"/>
    <n v="0"/>
    <n v="13671.77"/>
    <n v="0"/>
    <n v="0.82299999999999995"/>
    <n v="7"/>
    <x v="1"/>
  </r>
  <r>
    <s v="T188"/>
    <s v="U4783"/>
    <n v="27782.28"/>
    <s v="Withdrawal"/>
    <s v="Card"/>
    <s v="Web"/>
    <s v="Hyderabad"/>
    <n v="1265"/>
    <x v="19"/>
    <n v="4"/>
    <n v="27993.96"/>
    <n v="0"/>
    <n v="0.35499999999999998"/>
    <n v="7"/>
    <x v="1"/>
  </r>
  <r>
    <s v="T189"/>
    <s v="U4342"/>
    <n v="26506.05"/>
    <s v="Withdrawal"/>
    <s v="UPI"/>
    <s v="Web"/>
    <s v="Bangalore"/>
    <n v="1989"/>
    <x v="5"/>
    <n v="3"/>
    <n v="29320.95"/>
    <n v="0"/>
    <n v="0.82599999999999996"/>
    <n v="7"/>
    <x v="1"/>
  </r>
  <r>
    <s v="T190"/>
    <s v="U7832"/>
    <n v="12130.52"/>
    <s v="Payment"/>
    <s v="NetBanking"/>
    <s v="Web"/>
    <s v="Chennai"/>
    <n v="38"/>
    <x v="2"/>
    <n v="4"/>
    <n v="11682.04"/>
    <n v="0"/>
    <n v="0.95699999999999996"/>
    <n v="3"/>
    <x v="1"/>
  </r>
  <r>
    <s v="T191"/>
    <s v="U2155"/>
    <n v="4700.4799999999996"/>
    <s v="Payment"/>
    <s v="NetBanking"/>
    <s v="Web"/>
    <s v="Delhi"/>
    <n v="541"/>
    <x v="23"/>
    <n v="0"/>
    <n v="28940.3"/>
    <n v="0"/>
    <n v="0.89"/>
    <n v="3"/>
    <x v="1"/>
  </r>
  <r>
    <s v="T192"/>
    <s v="U6183"/>
    <n v="44865.93"/>
    <s v="Transfer"/>
    <s v="Wallet"/>
    <s v="Android"/>
    <s v="Delhi"/>
    <n v="1038"/>
    <x v="3"/>
    <n v="4"/>
    <n v="4224.42"/>
    <n v="0"/>
    <n v="0.55600000000000005"/>
    <n v="8"/>
    <x v="1"/>
  </r>
  <r>
    <s v="T193"/>
    <s v="U3650"/>
    <n v="45025.88"/>
    <s v="Transfer"/>
    <s v="NetBanking"/>
    <s v="iOS"/>
    <s v="Mumbai"/>
    <n v="1954"/>
    <x v="22"/>
    <n v="4"/>
    <n v="4887.57"/>
    <n v="0"/>
    <n v="0.57699999999999996"/>
    <n v="8"/>
    <x v="1"/>
  </r>
  <r>
    <s v="T194"/>
    <s v="U5701"/>
    <n v="31673.42"/>
    <s v="Withdrawal"/>
    <s v="Card"/>
    <s v="iOS"/>
    <s v="Chennai"/>
    <n v="1579"/>
    <x v="14"/>
    <n v="2"/>
    <n v="8368.65"/>
    <n v="0"/>
    <n v="0.107"/>
    <n v="8"/>
    <x v="2"/>
  </r>
  <r>
    <s v="T195"/>
    <s v="U8420"/>
    <n v="16984.54"/>
    <s v="Payment"/>
    <s v="NetBanking"/>
    <s v="Android"/>
    <s v="Mumbai"/>
    <n v="149"/>
    <x v="6"/>
    <n v="1"/>
    <n v="14079.93"/>
    <n v="0"/>
    <n v="0.16500000000000001"/>
    <n v="3"/>
    <x v="1"/>
  </r>
  <r>
    <s v="T196"/>
    <s v="U9588"/>
    <n v="17493.02"/>
    <s v="Transfer"/>
    <s v="Card"/>
    <s v="iOS"/>
    <s v="Mumbai"/>
    <n v="1061"/>
    <x v="12"/>
    <n v="3"/>
    <n v="5512.64"/>
    <n v="0"/>
    <n v="0.98299999999999998"/>
    <n v="4"/>
    <x v="1"/>
  </r>
  <r>
    <s v="T197"/>
    <s v="U9358"/>
    <n v="36311.49"/>
    <s v="Withdrawal"/>
    <s v="Wallet"/>
    <s v="Android"/>
    <s v="Chennai"/>
    <n v="107"/>
    <x v="8"/>
    <n v="1"/>
    <n v="10271.31"/>
    <n v="0"/>
    <n v="0.77"/>
    <n v="2"/>
    <x v="1"/>
  </r>
  <r>
    <s v="T198"/>
    <s v="U5231"/>
    <n v="44860.66"/>
    <s v="Withdrawal"/>
    <s v="UPI"/>
    <s v="Web"/>
    <s v="Hyderabad"/>
    <n v="271"/>
    <x v="0"/>
    <n v="0"/>
    <n v="3199.23"/>
    <n v="0"/>
    <n v="2.5999999999999999E-2"/>
    <n v="3"/>
    <x v="1"/>
  </r>
  <r>
    <s v="T199"/>
    <s v="U3939"/>
    <n v="44359.97"/>
    <s v="Withdrawal"/>
    <s v="Card"/>
    <s v="Android"/>
    <s v="Mumbai"/>
    <n v="1791"/>
    <x v="5"/>
    <n v="0"/>
    <n v="12957.24"/>
    <n v="1"/>
    <n v="0.54800000000000004"/>
    <n v="5"/>
    <x v="1"/>
  </r>
  <r>
    <s v="T200"/>
    <s v="U1446"/>
    <n v="39004.78"/>
    <s v="Transfer"/>
    <s v="UPI"/>
    <s v="iOS"/>
    <s v="Bangalore"/>
    <n v="28"/>
    <x v="22"/>
    <n v="4"/>
    <n v="24841.61"/>
    <n v="0"/>
    <n v="0.34499999999999997"/>
    <n v="3"/>
    <x v="1"/>
  </r>
  <r>
    <s v="T201"/>
    <s v="U1679"/>
    <n v="32119.48"/>
    <s v="Transfer"/>
    <s v="UPI"/>
    <s v="iOS"/>
    <s v="Hyderabad"/>
    <n v="21"/>
    <x v="18"/>
    <n v="1"/>
    <n v="17892.099999999999"/>
    <n v="0"/>
    <n v="0.312"/>
    <n v="4"/>
    <x v="1"/>
  </r>
  <r>
    <s v="T202"/>
    <s v="U5356"/>
    <n v="4252.79"/>
    <s v="Payment"/>
    <s v="UPI"/>
    <s v="iOS"/>
    <s v="Chennai"/>
    <n v="546"/>
    <x v="7"/>
    <n v="3"/>
    <n v="24323.759999999998"/>
    <n v="0"/>
    <n v="0.55700000000000005"/>
    <n v="7"/>
    <x v="1"/>
  </r>
  <r>
    <s v="T203"/>
    <s v="U5826"/>
    <n v="8123.35"/>
    <s v="Payment"/>
    <s v="UPI"/>
    <s v="Web"/>
    <s v="Delhi"/>
    <n v="1558"/>
    <x v="13"/>
    <n v="3"/>
    <n v="4157.8100000000004"/>
    <n v="1"/>
    <n v="0.32"/>
    <n v="3"/>
    <x v="1"/>
  </r>
  <r>
    <s v="T204"/>
    <s v="U6113"/>
    <n v="44932.78"/>
    <s v="Withdrawal"/>
    <s v="Card"/>
    <s v="Android"/>
    <s v="Hyderabad"/>
    <n v="1498"/>
    <x v="16"/>
    <n v="4"/>
    <n v="12043.13"/>
    <n v="0"/>
    <n v="0.252"/>
    <n v="1"/>
    <x v="1"/>
  </r>
  <r>
    <s v="T205"/>
    <s v="U5101"/>
    <n v="30341.13"/>
    <s v="Withdrawal"/>
    <s v="Wallet"/>
    <s v="Android"/>
    <s v="Mumbai"/>
    <n v="1621"/>
    <x v="20"/>
    <n v="3"/>
    <n v="1275.76"/>
    <n v="0"/>
    <n v="0.93799999999999994"/>
    <n v="1"/>
    <x v="1"/>
  </r>
  <r>
    <s v="T206"/>
    <s v="U6535"/>
    <n v="509.39"/>
    <s v="Transfer"/>
    <s v="NetBanking"/>
    <s v="iOS"/>
    <s v="Bangalore"/>
    <n v="268"/>
    <x v="2"/>
    <n v="2"/>
    <n v="11162.37"/>
    <n v="0"/>
    <n v="0.04"/>
    <n v="4"/>
    <x v="2"/>
  </r>
  <r>
    <s v="T207"/>
    <s v="U5362"/>
    <n v="5118.5"/>
    <s v="Transfer"/>
    <s v="Card"/>
    <s v="Android"/>
    <s v="Chennai"/>
    <n v="33"/>
    <x v="8"/>
    <n v="1"/>
    <n v="18473.48"/>
    <n v="0"/>
    <n v="0.436"/>
    <n v="1"/>
    <x v="1"/>
  </r>
  <r>
    <s v="T208"/>
    <s v="U4000"/>
    <n v="33191.910000000003"/>
    <s v="Payment"/>
    <s v="Wallet"/>
    <s v="iOS"/>
    <s v="Delhi"/>
    <n v="1041"/>
    <x v="12"/>
    <n v="0"/>
    <n v="17109.189999999999"/>
    <n v="0"/>
    <n v="0.51100000000000001"/>
    <n v="6"/>
    <x v="1"/>
  </r>
  <r>
    <s v="T209"/>
    <s v="U9062"/>
    <n v="302.83"/>
    <s v="Payment"/>
    <s v="NetBanking"/>
    <s v="Android"/>
    <s v="Bangalore"/>
    <n v="1913"/>
    <x v="19"/>
    <n v="3"/>
    <n v="1903.65"/>
    <n v="0"/>
    <n v="0.44"/>
    <n v="4"/>
    <x v="1"/>
  </r>
  <r>
    <s v="T210"/>
    <s v="U4570"/>
    <n v="8082.36"/>
    <s v="Payment"/>
    <s v="UPI"/>
    <s v="Web"/>
    <s v="Delhi"/>
    <n v="237"/>
    <x v="18"/>
    <n v="3"/>
    <n v="1955.58"/>
    <n v="0"/>
    <n v="0.65700000000000003"/>
    <n v="5"/>
    <x v="1"/>
  </r>
  <r>
    <s v="T211"/>
    <s v="U1634"/>
    <n v="27459.25"/>
    <s v="Transfer"/>
    <s v="NetBanking"/>
    <s v="Web"/>
    <s v="Chennai"/>
    <n v="385"/>
    <x v="13"/>
    <n v="3"/>
    <n v="9221.52"/>
    <n v="0"/>
    <n v="2.5999999999999999E-2"/>
    <n v="6"/>
    <x v="1"/>
  </r>
  <r>
    <s v="T212"/>
    <s v="U8304"/>
    <n v="34610.17"/>
    <s v="Withdrawal"/>
    <s v="NetBanking"/>
    <s v="Android"/>
    <s v="Hyderabad"/>
    <n v="1156"/>
    <x v="7"/>
    <n v="4"/>
    <n v="23164.84"/>
    <n v="0"/>
    <n v="0.88500000000000001"/>
    <n v="2"/>
    <x v="1"/>
  </r>
  <r>
    <s v="T213"/>
    <s v="U2593"/>
    <n v="32615.46"/>
    <s v="Payment"/>
    <s v="Wallet"/>
    <s v="Web"/>
    <s v="Mumbai"/>
    <n v="1123"/>
    <x v="2"/>
    <n v="0"/>
    <n v="715.24"/>
    <n v="0"/>
    <n v="0.5"/>
    <n v="1"/>
    <x v="1"/>
  </r>
  <r>
    <s v="T214"/>
    <s v="U3997"/>
    <n v="11252.25"/>
    <s v="Payment"/>
    <s v="NetBanking"/>
    <s v="Web"/>
    <s v="Chennai"/>
    <n v="1846"/>
    <x v="2"/>
    <n v="1"/>
    <n v="18516.22"/>
    <n v="0"/>
    <n v="0.55400000000000005"/>
    <n v="2"/>
    <x v="2"/>
  </r>
  <r>
    <s v="T215"/>
    <s v="U3745"/>
    <n v="35623.35"/>
    <s v="Transfer"/>
    <s v="UPI"/>
    <s v="Web"/>
    <s v="Bangalore"/>
    <n v="1489"/>
    <x v="14"/>
    <n v="3"/>
    <n v="5592.68"/>
    <n v="0"/>
    <n v="0.46300000000000002"/>
    <n v="6"/>
    <x v="1"/>
  </r>
  <r>
    <s v="T216"/>
    <s v="U1607"/>
    <n v="11900.59"/>
    <s v="Payment"/>
    <s v="Card"/>
    <s v="iOS"/>
    <s v="Hyderabad"/>
    <n v="233"/>
    <x v="18"/>
    <n v="2"/>
    <n v="28335.06"/>
    <n v="0"/>
    <n v="0.44500000000000001"/>
    <n v="9"/>
    <x v="1"/>
  </r>
  <r>
    <s v="T217"/>
    <s v="U6936"/>
    <n v="16303.71"/>
    <s v="Withdrawal"/>
    <s v="Card"/>
    <s v="Android"/>
    <s v="Delhi"/>
    <n v="745"/>
    <x v="3"/>
    <n v="4"/>
    <n v="12963.44"/>
    <n v="0"/>
    <n v="0.187"/>
    <n v="8"/>
    <x v="1"/>
  </r>
  <r>
    <s v="T218"/>
    <s v="U7780"/>
    <n v="37337.25"/>
    <s v="Transfer"/>
    <s v="Wallet"/>
    <s v="Android"/>
    <s v="Hyderabad"/>
    <n v="266"/>
    <x v="22"/>
    <n v="1"/>
    <n v="1531.73"/>
    <n v="0"/>
    <n v="0.504"/>
    <n v="1"/>
    <x v="1"/>
  </r>
  <r>
    <s v="T219"/>
    <s v="U3538"/>
    <n v="32499.16"/>
    <s v="Payment"/>
    <s v="UPI"/>
    <s v="iOS"/>
    <s v="Hyderabad"/>
    <n v="524"/>
    <x v="2"/>
    <n v="3"/>
    <n v="21437.79"/>
    <n v="0"/>
    <n v="0.42099999999999999"/>
    <n v="5"/>
    <x v="1"/>
  </r>
  <r>
    <s v="T220"/>
    <s v="U4982"/>
    <n v="42468.71"/>
    <s v="Payment"/>
    <s v="UPI"/>
    <s v="iOS"/>
    <s v="Bangalore"/>
    <n v="842"/>
    <x v="23"/>
    <n v="1"/>
    <n v="14589.82"/>
    <n v="0"/>
    <n v="0.46800000000000003"/>
    <n v="7"/>
    <x v="1"/>
  </r>
  <r>
    <s v="T221"/>
    <s v="U9606"/>
    <n v="32897.760000000002"/>
    <s v="Transfer"/>
    <s v="NetBanking"/>
    <s v="Web"/>
    <s v="Mumbai"/>
    <n v="1816"/>
    <x v="10"/>
    <n v="4"/>
    <n v="26449.09"/>
    <n v="0"/>
    <n v="1.4E-2"/>
    <n v="8"/>
    <x v="2"/>
  </r>
  <r>
    <s v="T222"/>
    <s v="U2440"/>
    <n v="28437.01"/>
    <s v="Transfer"/>
    <s v="Wallet"/>
    <s v="Android"/>
    <s v="Hyderabad"/>
    <n v="1851"/>
    <x v="7"/>
    <n v="2"/>
    <n v="19589.57"/>
    <n v="0"/>
    <n v="0.13100000000000001"/>
    <n v="7"/>
    <x v="1"/>
  </r>
  <r>
    <s v="T223"/>
    <s v="U4595"/>
    <n v="4729.05"/>
    <s v="Payment"/>
    <s v="UPI"/>
    <s v="iOS"/>
    <s v="Hyderabad"/>
    <n v="1181"/>
    <x v="5"/>
    <n v="3"/>
    <n v="20806.52"/>
    <n v="0"/>
    <n v="0.76300000000000001"/>
    <n v="1"/>
    <x v="1"/>
  </r>
  <r>
    <s v="T224"/>
    <s v="U2186"/>
    <n v="18417.400000000001"/>
    <s v="Withdrawal"/>
    <s v="UPI"/>
    <s v="Web"/>
    <s v="Mumbai"/>
    <n v="1420"/>
    <x v="14"/>
    <n v="2"/>
    <n v="23041.07"/>
    <n v="0"/>
    <n v="0.41899999999999998"/>
    <n v="4"/>
    <x v="1"/>
  </r>
  <r>
    <s v="T225"/>
    <s v="U1130"/>
    <n v="13296.86"/>
    <s v="Transfer"/>
    <s v="UPI"/>
    <s v="Android"/>
    <s v="Mumbai"/>
    <n v="710"/>
    <x v="8"/>
    <n v="4"/>
    <n v="12668.6"/>
    <n v="0"/>
    <n v="0.74299999999999999"/>
    <n v="4"/>
    <x v="1"/>
  </r>
  <r>
    <s v="T226"/>
    <s v="U9700"/>
    <n v="12237.28"/>
    <s v="Withdrawal"/>
    <s v="Card"/>
    <s v="Web"/>
    <s v="Delhi"/>
    <n v="920"/>
    <x v="6"/>
    <n v="2"/>
    <n v="23797.16"/>
    <n v="0"/>
    <n v="0.17100000000000001"/>
    <n v="9"/>
    <x v="1"/>
  </r>
  <r>
    <s v="T227"/>
    <s v="U6095"/>
    <n v="48651.88"/>
    <s v="Payment"/>
    <s v="Card"/>
    <s v="Android"/>
    <s v="Delhi"/>
    <n v="708"/>
    <x v="13"/>
    <n v="4"/>
    <n v="1613.63"/>
    <n v="0"/>
    <n v="0.69799999999999995"/>
    <n v="6"/>
    <x v="1"/>
  </r>
  <r>
    <s v="T228"/>
    <s v="U8167"/>
    <n v="19685.23"/>
    <s v="Withdrawal"/>
    <s v="Card"/>
    <s v="Web"/>
    <s v="Mumbai"/>
    <n v="447"/>
    <x v="7"/>
    <n v="2"/>
    <n v="22989.27"/>
    <n v="0"/>
    <n v="0.28899999999999998"/>
    <n v="6"/>
    <x v="1"/>
  </r>
  <r>
    <s v="T229"/>
    <s v="U7347"/>
    <n v="44607.73"/>
    <s v="Payment"/>
    <s v="NetBanking"/>
    <s v="Android"/>
    <s v="Chennai"/>
    <n v="1733"/>
    <x v="9"/>
    <n v="1"/>
    <n v="19125.599999999999"/>
    <n v="0"/>
    <n v="0.70499999999999996"/>
    <n v="5"/>
    <x v="1"/>
  </r>
  <r>
    <s v="T230"/>
    <s v="U1289"/>
    <n v="31575.37"/>
    <s v="Payment"/>
    <s v="NetBanking"/>
    <s v="Android"/>
    <s v="Mumbai"/>
    <n v="1669"/>
    <x v="8"/>
    <n v="1"/>
    <n v="17043.28"/>
    <n v="0"/>
    <n v="8.6999999999999994E-2"/>
    <n v="5"/>
    <x v="2"/>
  </r>
  <r>
    <s v="T231"/>
    <s v="U1111"/>
    <n v="39750.82"/>
    <s v="Payment"/>
    <s v="NetBanking"/>
    <s v="Android"/>
    <s v="Delhi"/>
    <n v="46"/>
    <x v="3"/>
    <n v="4"/>
    <n v="9612.7000000000007"/>
    <n v="0"/>
    <n v="0.33400000000000002"/>
    <n v="9"/>
    <x v="1"/>
  </r>
  <r>
    <s v="T232"/>
    <s v="U1878"/>
    <n v="25156.720000000001"/>
    <s v="Payment"/>
    <s v="UPI"/>
    <s v="Android"/>
    <s v="Bangalore"/>
    <n v="1694"/>
    <x v="7"/>
    <n v="1"/>
    <n v="3511.97"/>
    <n v="0"/>
    <n v="0.11899999999999999"/>
    <n v="2"/>
    <x v="1"/>
  </r>
  <r>
    <s v="T233"/>
    <s v="U5424"/>
    <n v="28866.35"/>
    <s v="Withdrawal"/>
    <s v="Card"/>
    <s v="Web"/>
    <s v="Bangalore"/>
    <n v="115"/>
    <x v="14"/>
    <n v="2"/>
    <n v="19451.3"/>
    <n v="0"/>
    <n v="0.63"/>
    <n v="5"/>
    <x v="1"/>
  </r>
  <r>
    <s v="T234"/>
    <s v="U5332"/>
    <n v="24651.26"/>
    <s v="Payment"/>
    <s v="UPI"/>
    <s v="iOS"/>
    <s v="Hyderabad"/>
    <n v="624"/>
    <x v="17"/>
    <n v="2"/>
    <n v="14202.96"/>
    <n v="0"/>
    <n v="0.39300000000000002"/>
    <n v="1"/>
    <x v="1"/>
  </r>
  <r>
    <s v="T235"/>
    <s v="U3511"/>
    <n v="9802.39"/>
    <s v="Payment"/>
    <s v="UPI"/>
    <s v="Android"/>
    <s v="Bangalore"/>
    <n v="1952"/>
    <x v="0"/>
    <n v="3"/>
    <n v="6613.56"/>
    <n v="0"/>
    <n v="7.3999999999999996E-2"/>
    <n v="5"/>
    <x v="1"/>
  </r>
  <r>
    <s v="T236"/>
    <s v="U9467"/>
    <n v="36136.480000000003"/>
    <s v="Withdrawal"/>
    <s v="Wallet"/>
    <s v="Android"/>
    <s v="Delhi"/>
    <n v="1922"/>
    <x v="17"/>
    <n v="4"/>
    <n v="1396.66"/>
    <n v="0"/>
    <n v="0.52600000000000002"/>
    <n v="4"/>
    <x v="1"/>
  </r>
  <r>
    <s v="T237"/>
    <s v="U9056"/>
    <n v="14074.58"/>
    <s v="Transfer"/>
    <s v="UPI"/>
    <s v="Android"/>
    <s v="Bangalore"/>
    <n v="241"/>
    <x v="7"/>
    <n v="1"/>
    <n v="16209.08"/>
    <n v="0"/>
    <n v="2.5000000000000001E-2"/>
    <n v="4"/>
    <x v="1"/>
  </r>
  <r>
    <s v="T238"/>
    <s v="U6531"/>
    <n v="1264.58"/>
    <s v="Withdrawal"/>
    <s v="NetBanking"/>
    <s v="Android"/>
    <s v="Chennai"/>
    <n v="876"/>
    <x v="3"/>
    <n v="4"/>
    <n v="3876.26"/>
    <n v="0"/>
    <n v="0.81799999999999995"/>
    <n v="4"/>
    <x v="1"/>
  </r>
  <r>
    <s v="T239"/>
    <s v="U2018"/>
    <n v="32291.34"/>
    <s v="Withdrawal"/>
    <s v="Card"/>
    <s v="Web"/>
    <s v="Mumbai"/>
    <n v="1179"/>
    <x v="6"/>
    <n v="1"/>
    <n v="27889.64"/>
    <n v="0"/>
    <n v="0.93799999999999994"/>
    <n v="3"/>
    <x v="1"/>
  </r>
  <r>
    <s v="T240"/>
    <s v="U7639"/>
    <n v="8896.68"/>
    <s v="Withdrawal"/>
    <s v="Card"/>
    <s v="iOS"/>
    <s v="Mumbai"/>
    <n v="1050"/>
    <x v="3"/>
    <n v="3"/>
    <n v="4603.8900000000003"/>
    <n v="0"/>
    <n v="0.81"/>
    <n v="6"/>
    <x v="1"/>
  </r>
  <r>
    <s v="T241"/>
    <s v="U6347"/>
    <n v="47025.91"/>
    <s v="Payment"/>
    <s v="UPI"/>
    <s v="iOS"/>
    <s v="Delhi"/>
    <n v="1192"/>
    <x v="15"/>
    <n v="2"/>
    <n v="1057.56"/>
    <n v="0"/>
    <n v="0.95199999999999996"/>
    <n v="3"/>
    <x v="1"/>
  </r>
  <r>
    <s v="T242"/>
    <s v="U7705"/>
    <n v="47698.73"/>
    <s v="Payment"/>
    <s v="NetBanking"/>
    <s v="iOS"/>
    <s v="Hyderabad"/>
    <n v="969"/>
    <x v="20"/>
    <n v="2"/>
    <n v="7935.22"/>
    <n v="0"/>
    <n v="0.89700000000000002"/>
    <n v="6"/>
    <x v="1"/>
  </r>
  <r>
    <s v="T243"/>
    <s v="U4337"/>
    <n v="45747.48"/>
    <s v="Payment"/>
    <s v="NetBanking"/>
    <s v="Web"/>
    <s v="Mumbai"/>
    <n v="1849"/>
    <x v="0"/>
    <n v="0"/>
    <n v="5331.2"/>
    <n v="0"/>
    <n v="0.89500000000000002"/>
    <n v="6"/>
    <x v="1"/>
  </r>
  <r>
    <s v="T244"/>
    <s v="U7667"/>
    <n v="18539.43"/>
    <s v="Transfer"/>
    <s v="NetBanking"/>
    <s v="iOS"/>
    <s v="Bangalore"/>
    <n v="1315"/>
    <x v="1"/>
    <n v="4"/>
    <n v="23758.02"/>
    <n v="0"/>
    <n v="0.245"/>
    <n v="2"/>
    <x v="1"/>
  </r>
  <r>
    <s v="T245"/>
    <s v="U3625"/>
    <n v="822.06"/>
    <s v="Payment"/>
    <s v="Card"/>
    <s v="Web"/>
    <s v="Chennai"/>
    <n v="287"/>
    <x v="8"/>
    <n v="1"/>
    <n v="8751.34"/>
    <n v="0"/>
    <n v="0.23100000000000001"/>
    <n v="9"/>
    <x v="1"/>
  </r>
  <r>
    <s v="T246"/>
    <s v="U6458"/>
    <n v="46419.51"/>
    <s v="Transfer"/>
    <s v="NetBanking"/>
    <s v="Web"/>
    <s v="Hyderabad"/>
    <n v="134"/>
    <x v="20"/>
    <n v="0"/>
    <n v="7432.69"/>
    <n v="0"/>
    <n v="0.80900000000000005"/>
    <n v="8"/>
    <x v="1"/>
  </r>
  <r>
    <s v="T247"/>
    <s v="U4017"/>
    <n v="21437.8"/>
    <s v="Payment"/>
    <s v="NetBanking"/>
    <s v="Android"/>
    <s v="Hyderabad"/>
    <n v="1718"/>
    <x v="15"/>
    <n v="4"/>
    <n v="29844.77"/>
    <n v="0"/>
    <n v="0.49099999999999999"/>
    <n v="7"/>
    <x v="1"/>
  </r>
  <r>
    <s v="T248"/>
    <s v="U7376"/>
    <n v="48334.41"/>
    <s v="Withdrawal"/>
    <s v="UPI"/>
    <s v="Web"/>
    <s v="Hyderabad"/>
    <n v="1453"/>
    <x v="15"/>
    <n v="1"/>
    <n v="4586.8500000000004"/>
    <n v="0"/>
    <n v="0.94199999999999995"/>
    <n v="9"/>
    <x v="1"/>
  </r>
  <r>
    <s v="T249"/>
    <s v="U4452"/>
    <n v="48182.82"/>
    <s v="Payment"/>
    <s v="Wallet"/>
    <s v="iOS"/>
    <s v="Mumbai"/>
    <n v="1353"/>
    <x v="15"/>
    <n v="3"/>
    <n v="2641.46"/>
    <n v="0"/>
    <n v="0.89700000000000002"/>
    <n v="8"/>
    <x v="1"/>
  </r>
  <r>
    <s v="T250"/>
    <s v="U6082"/>
    <n v="42657.82"/>
    <s v="Transfer"/>
    <s v="NetBanking"/>
    <s v="iOS"/>
    <s v="Hyderabad"/>
    <n v="684"/>
    <x v="6"/>
    <n v="4"/>
    <n v="9238.16"/>
    <n v="0"/>
    <n v="0.89300000000000002"/>
    <n v="9"/>
    <x v="1"/>
  </r>
  <r>
    <s v="T251"/>
    <s v="U6484"/>
    <n v="14757.72"/>
    <s v="Transfer"/>
    <s v="UPI"/>
    <s v="iOS"/>
    <s v="Delhi"/>
    <n v="724"/>
    <x v="14"/>
    <n v="1"/>
    <n v="12212.2"/>
    <n v="0"/>
    <n v="0.32600000000000001"/>
    <n v="8"/>
    <x v="1"/>
  </r>
  <r>
    <s v="T252"/>
    <s v="U1877"/>
    <n v="19285.63"/>
    <s v="Payment"/>
    <s v="UPI"/>
    <s v="Android"/>
    <s v="Bangalore"/>
    <n v="1515"/>
    <x v="7"/>
    <n v="2"/>
    <n v="22836.68"/>
    <n v="0"/>
    <n v="0.13300000000000001"/>
    <n v="3"/>
    <x v="1"/>
  </r>
  <r>
    <s v="T253"/>
    <s v="U2994"/>
    <n v="42564.28"/>
    <s v="Withdrawal"/>
    <s v="NetBanking"/>
    <s v="Android"/>
    <s v="Chennai"/>
    <n v="1883"/>
    <x v="0"/>
    <n v="4"/>
    <n v="28667.77"/>
    <n v="0"/>
    <n v="0.67800000000000005"/>
    <n v="1"/>
    <x v="1"/>
  </r>
  <r>
    <s v="T254"/>
    <s v="U7401"/>
    <n v="15880.25"/>
    <s v="Payment"/>
    <s v="Wallet"/>
    <s v="Android"/>
    <s v="Bangalore"/>
    <n v="676"/>
    <x v="17"/>
    <n v="1"/>
    <n v="22933.95"/>
    <n v="0"/>
    <n v="0.441"/>
    <n v="6"/>
    <x v="2"/>
  </r>
  <r>
    <s v="T255"/>
    <s v="U3238"/>
    <n v="8516.16"/>
    <s v="Payment"/>
    <s v="Card"/>
    <s v="Web"/>
    <s v="Delhi"/>
    <n v="1357"/>
    <x v="6"/>
    <n v="2"/>
    <n v="21826.49"/>
    <n v="0"/>
    <n v="0.93400000000000005"/>
    <n v="3"/>
    <x v="1"/>
  </r>
  <r>
    <s v="T256"/>
    <s v="U1242"/>
    <n v="27862.22"/>
    <s v="Payment"/>
    <s v="Wallet"/>
    <s v="iOS"/>
    <s v="Delhi"/>
    <n v="922"/>
    <x v="15"/>
    <n v="2"/>
    <n v="29744.29"/>
    <n v="0"/>
    <n v="0.85399999999999998"/>
    <n v="3"/>
    <x v="2"/>
  </r>
  <r>
    <s v="T257"/>
    <s v="U9237"/>
    <n v="46810.93"/>
    <s v="Withdrawal"/>
    <s v="NetBanking"/>
    <s v="Web"/>
    <s v="Bangalore"/>
    <n v="1999"/>
    <x v="15"/>
    <n v="0"/>
    <n v="22984.38"/>
    <n v="0"/>
    <n v="0.92900000000000005"/>
    <n v="6"/>
    <x v="1"/>
  </r>
  <r>
    <s v="T258"/>
    <s v="U8720"/>
    <n v="34816.69"/>
    <s v="Transfer"/>
    <s v="Wallet"/>
    <s v="Web"/>
    <s v="Mumbai"/>
    <n v="404"/>
    <x v="18"/>
    <n v="1"/>
    <n v="4272.04"/>
    <n v="0"/>
    <n v="0.56799999999999995"/>
    <n v="9"/>
    <x v="1"/>
  </r>
  <r>
    <s v="T259"/>
    <s v="U3944"/>
    <n v="28524.560000000001"/>
    <s v="Withdrawal"/>
    <s v="UPI"/>
    <s v="iOS"/>
    <s v="Delhi"/>
    <n v="782"/>
    <x v="11"/>
    <n v="0"/>
    <n v="13899.74"/>
    <n v="0"/>
    <n v="0.52600000000000002"/>
    <n v="5"/>
    <x v="1"/>
  </r>
  <r>
    <s v="T260"/>
    <s v="U7319"/>
    <n v="4903.97"/>
    <s v="Transfer"/>
    <s v="UPI"/>
    <s v="Android"/>
    <s v="Hyderabad"/>
    <n v="195"/>
    <x v="6"/>
    <n v="0"/>
    <n v="15154.79"/>
    <n v="1"/>
    <n v="0.84699999999999998"/>
    <n v="1"/>
    <x v="1"/>
  </r>
  <r>
    <s v="T261"/>
    <s v="U3124"/>
    <n v="30769.61"/>
    <s v="Transfer"/>
    <s v="Wallet"/>
    <s v="iOS"/>
    <s v="Chennai"/>
    <n v="1922"/>
    <x v="1"/>
    <n v="3"/>
    <n v="9213.83"/>
    <n v="0"/>
    <n v="0.51200000000000001"/>
    <n v="7"/>
    <x v="1"/>
  </r>
  <r>
    <s v="T262"/>
    <s v="U9665"/>
    <n v="49503.19"/>
    <s v="Transfer"/>
    <s v="Card"/>
    <s v="Web"/>
    <s v="Chennai"/>
    <n v="475"/>
    <x v="13"/>
    <n v="0"/>
    <n v="5011.84"/>
    <n v="0"/>
    <n v="0.9"/>
    <n v="9"/>
    <x v="1"/>
  </r>
  <r>
    <s v="T263"/>
    <s v="U8760"/>
    <n v="7047.2"/>
    <s v="Withdrawal"/>
    <s v="Wallet"/>
    <s v="Web"/>
    <s v="Delhi"/>
    <n v="1090"/>
    <x v="17"/>
    <n v="0"/>
    <n v="21381.040000000001"/>
    <n v="0"/>
    <n v="3.4000000000000002E-2"/>
    <n v="2"/>
    <x v="1"/>
  </r>
  <r>
    <s v="T264"/>
    <s v="U9441"/>
    <n v="25940.57"/>
    <s v="Payment"/>
    <s v="NetBanking"/>
    <s v="Android"/>
    <s v="Hyderabad"/>
    <n v="1762"/>
    <x v="6"/>
    <n v="3"/>
    <n v="8397.09"/>
    <n v="0"/>
    <n v="0.35899999999999999"/>
    <n v="9"/>
    <x v="1"/>
  </r>
  <r>
    <s v="T265"/>
    <s v="U7291"/>
    <n v="43874.78"/>
    <s v="Payment"/>
    <s v="Card"/>
    <s v="Web"/>
    <s v="Bangalore"/>
    <n v="467"/>
    <x v="18"/>
    <n v="3"/>
    <n v="18777.18"/>
    <n v="1"/>
    <n v="0.83499999999999996"/>
    <n v="5"/>
    <x v="1"/>
  </r>
  <r>
    <s v="T266"/>
    <s v="U7048"/>
    <n v="37051.39"/>
    <s v="Payment"/>
    <s v="Wallet"/>
    <s v="Web"/>
    <s v="Chennai"/>
    <n v="1010"/>
    <x v="19"/>
    <n v="4"/>
    <n v="9745.43"/>
    <n v="1"/>
    <n v="0.21"/>
    <n v="1"/>
    <x v="1"/>
  </r>
  <r>
    <s v="T267"/>
    <s v="U7718"/>
    <n v="34865.94"/>
    <s v="Payment"/>
    <s v="Wallet"/>
    <s v="iOS"/>
    <s v="Hyderabad"/>
    <n v="1241"/>
    <x v="20"/>
    <n v="0"/>
    <n v="15236.47"/>
    <n v="0"/>
    <n v="0.39900000000000002"/>
    <n v="4"/>
    <x v="1"/>
  </r>
  <r>
    <s v="T268"/>
    <s v="U3596"/>
    <n v="35139.08"/>
    <s v="Payment"/>
    <s v="Card"/>
    <s v="Android"/>
    <s v="Hyderabad"/>
    <n v="1747"/>
    <x v="0"/>
    <n v="2"/>
    <n v="10177.879999999999"/>
    <n v="0"/>
    <n v="0.01"/>
    <n v="8"/>
    <x v="2"/>
  </r>
  <r>
    <s v="T269"/>
    <s v="U8731"/>
    <n v="18006.580000000002"/>
    <s v="Withdrawal"/>
    <s v="Wallet"/>
    <s v="iOS"/>
    <s v="Mumbai"/>
    <n v="83"/>
    <x v="21"/>
    <n v="3"/>
    <n v="12411.58"/>
    <n v="0"/>
    <n v="0.30199999999999999"/>
    <n v="3"/>
    <x v="1"/>
  </r>
  <r>
    <s v="T270"/>
    <s v="U5602"/>
    <n v="14714.91"/>
    <s v="Withdrawal"/>
    <s v="NetBanking"/>
    <s v="iOS"/>
    <s v="Delhi"/>
    <n v="1517"/>
    <x v="6"/>
    <n v="1"/>
    <n v="21988.79"/>
    <n v="0"/>
    <n v="0.31900000000000001"/>
    <n v="5"/>
    <x v="1"/>
  </r>
  <r>
    <s v="T271"/>
    <s v="U9776"/>
    <n v="40477.589999999997"/>
    <s v="Withdrawal"/>
    <s v="UPI"/>
    <s v="iOS"/>
    <s v="Hyderabad"/>
    <n v="1118"/>
    <x v="2"/>
    <n v="4"/>
    <n v="26526.36"/>
    <n v="0"/>
    <n v="0.73299999999999998"/>
    <n v="2"/>
    <x v="1"/>
  </r>
  <r>
    <s v="T272"/>
    <s v="U1870"/>
    <n v="40515.160000000003"/>
    <s v="Withdrawal"/>
    <s v="NetBanking"/>
    <s v="Web"/>
    <s v="Bangalore"/>
    <n v="641"/>
    <x v="16"/>
    <n v="4"/>
    <n v="15311.5"/>
    <n v="0"/>
    <n v="0.67700000000000005"/>
    <n v="5"/>
    <x v="1"/>
  </r>
  <r>
    <s v="T273"/>
    <s v="U3437"/>
    <n v="43360.26"/>
    <s v="Withdrawal"/>
    <s v="Wallet"/>
    <s v="Web"/>
    <s v="Chennai"/>
    <n v="1047"/>
    <x v="15"/>
    <n v="0"/>
    <n v="18346.509999999998"/>
    <n v="0"/>
    <n v="0.44500000000000001"/>
    <n v="9"/>
    <x v="1"/>
  </r>
  <r>
    <s v="T274"/>
    <s v="U8248"/>
    <n v="45666.37"/>
    <s v="Withdrawal"/>
    <s v="UPI"/>
    <s v="Android"/>
    <s v="Mumbai"/>
    <n v="849"/>
    <x v="16"/>
    <n v="2"/>
    <n v="25945.85"/>
    <n v="0"/>
    <n v="0.72899999999999998"/>
    <n v="3"/>
    <x v="1"/>
  </r>
  <r>
    <s v="T275"/>
    <s v="U1062"/>
    <n v="25591.55"/>
    <s v="Withdrawal"/>
    <s v="Card"/>
    <s v="Web"/>
    <s v="Bangalore"/>
    <n v="1674"/>
    <x v="23"/>
    <n v="3"/>
    <n v="4382.3500000000004"/>
    <n v="0"/>
    <n v="0.42799999999999999"/>
    <n v="7"/>
    <x v="1"/>
  </r>
  <r>
    <s v="T276"/>
    <s v="U9482"/>
    <n v="25100.74"/>
    <s v="Payment"/>
    <s v="NetBanking"/>
    <s v="Android"/>
    <s v="Chennai"/>
    <n v="921"/>
    <x v="6"/>
    <n v="1"/>
    <n v="4949.72"/>
    <n v="0"/>
    <n v="0.435"/>
    <n v="6"/>
    <x v="1"/>
  </r>
  <r>
    <s v="T277"/>
    <s v="U6893"/>
    <n v="39924.839999999997"/>
    <s v="Transfer"/>
    <s v="Card"/>
    <s v="iOS"/>
    <s v="Delhi"/>
    <n v="803"/>
    <x v="2"/>
    <n v="0"/>
    <n v="10841.18"/>
    <n v="0"/>
    <n v="0.64600000000000002"/>
    <n v="2"/>
    <x v="1"/>
  </r>
  <r>
    <s v="T278"/>
    <s v="U1536"/>
    <n v="32515.7"/>
    <s v="Withdrawal"/>
    <s v="UPI"/>
    <s v="iOS"/>
    <s v="Bangalore"/>
    <n v="58"/>
    <x v="21"/>
    <n v="2"/>
    <n v="9341.14"/>
    <n v="0"/>
    <n v="0.72299999999999998"/>
    <n v="7"/>
    <x v="1"/>
  </r>
  <r>
    <s v="T279"/>
    <s v="U4898"/>
    <n v="35113.25"/>
    <s v="Transfer"/>
    <s v="Wallet"/>
    <s v="Web"/>
    <s v="Chennai"/>
    <n v="1459"/>
    <x v="18"/>
    <n v="0"/>
    <n v="29592.57"/>
    <n v="0"/>
    <n v="0.84699999999999998"/>
    <n v="4"/>
    <x v="1"/>
  </r>
  <r>
    <s v="T280"/>
    <s v="U2474"/>
    <n v="39799.839999999997"/>
    <s v="Withdrawal"/>
    <s v="UPI"/>
    <s v="Web"/>
    <s v="Mumbai"/>
    <n v="975"/>
    <x v="17"/>
    <n v="0"/>
    <n v="16966.349999999999"/>
    <n v="0"/>
    <n v="0.751"/>
    <n v="6"/>
    <x v="1"/>
  </r>
  <r>
    <s v="T281"/>
    <s v="U5254"/>
    <n v="44505.77"/>
    <s v="Withdrawal"/>
    <s v="UPI"/>
    <s v="Android"/>
    <s v="Chennai"/>
    <n v="368"/>
    <x v="10"/>
    <n v="4"/>
    <n v="15764.81"/>
    <n v="0"/>
    <n v="0.67"/>
    <n v="7"/>
    <x v="1"/>
  </r>
  <r>
    <s v="T282"/>
    <s v="U9624"/>
    <n v="16932.86"/>
    <s v="Payment"/>
    <s v="Card"/>
    <s v="Web"/>
    <s v="Hyderabad"/>
    <n v="251"/>
    <x v="5"/>
    <n v="1"/>
    <n v="17403.689999999999"/>
    <n v="1"/>
    <n v="0.56100000000000005"/>
    <n v="9"/>
    <x v="1"/>
  </r>
  <r>
    <s v="T283"/>
    <s v="U3963"/>
    <n v="18810.37"/>
    <s v="Transfer"/>
    <s v="NetBanking"/>
    <s v="Web"/>
    <s v="Mumbai"/>
    <n v="1867"/>
    <x v="17"/>
    <n v="1"/>
    <n v="26267.119999999999"/>
    <n v="0"/>
    <n v="0.308"/>
    <n v="7"/>
    <x v="1"/>
  </r>
  <r>
    <s v="T284"/>
    <s v="U7495"/>
    <n v="4744.3999999999996"/>
    <s v="Payment"/>
    <s v="UPI"/>
    <s v="Web"/>
    <s v="Bangalore"/>
    <n v="1086"/>
    <x v="6"/>
    <n v="1"/>
    <n v="7382.08"/>
    <n v="1"/>
    <n v="0.26100000000000001"/>
    <n v="3"/>
    <x v="1"/>
  </r>
  <r>
    <s v="T285"/>
    <s v="U6593"/>
    <n v="28935.09"/>
    <s v="Payment"/>
    <s v="Wallet"/>
    <s v="iOS"/>
    <s v="Delhi"/>
    <n v="1810"/>
    <x v="22"/>
    <n v="1"/>
    <n v="15377.92"/>
    <n v="0"/>
    <n v="0.84299999999999997"/>
    <n v="9"/>
    <x v="1"/>
  </r>
  <r>
    <s v="T286"/>
    <s v="U8855"/>
    <n v="1845.32"/>
    <s v="Transfer"/>
    <s v="UPI"/>
    <s v="Web"/>
    <s v="Mumbai"/>
    <n v="1102"/>
    <x v="8"/>
    <n v="3"/>
    <n v="8201.7999999999993"/>
    <n v="0"/>
    <n v="0.71699999999999997"/>
    <n v="6"/>
    <x v="1"/>
  </r>
  <r>
    <s v="T287"/>
    <s v="U8086"/>
    <n v="23306.62"/>
    <s v="Payment"/>
    <s v="Card"/>
    <s v="Web"/>
    <s v="Mumbai"/>
    <n v="1585"/>
    <x v="16"/>
    <n v="3"/>
    <n v="23439.23"/>
    <n v="0"/>
    <n v="0.66500000000000004"/>
    <n v="4"/>
    <x v="1"/>
  </r>
  <r>
    <s v="T288"/>
    <s v="U2601"/>
    <n v="27155.1"/>
    <s v="Withdrawal"/>
    <s v="NetBanking"/>
    <s v="iOS"/>
    <s v="Mumbai"/>
    <n v="1729"/>
    <x v="22"/>
    <n v="1"/>
    <n v="23335.75"/>
    <n v="0"/>
    <n v="0.25900000000000001"/>
    <n v="5"/>
    <x v="1"/>
  </r>
  <r>
    <s v="T289"/>
    <s v="U8290"/>
    <n v="14362.74"/>
    <s v="Withdrawal"/>
    <s v="Wallet"/>
    <s v="iOS"/>
    <s v="Chennai"/>
    <n v="1678"/>
    <x v="20"/>
    <n v="2"/>
    <n v="28727.15"/>
    <n v="1"/>
    <n v="0.97"/>
    <n v="1"/>
    <x v="1"/>
  </r>
  <r>
    <s v="T290"/>
    <s v="U5456"/>
    <n v="29562.12"/>
    <s v="Withdrawal"/>
    <s v="Card"/>
    <s v="iOS"/>
    <s v="Hyderabad"/>
    <n v="65"/>
    <x v="18"/>
    <n v="3"/>
    <n v="13459.98"/>
    <n v="0"/>
    <n v="8.1000000000000003E-2"/>
    <n v="4"/>
    <x v="1"/>
  </r>
  <r>
    <s v="T291"/>
    <s v="U4415"/>
    <n v="1573.49"/>
    <s v="Withdrawal"/>
    <s v="UPI"/>
    <s v="iOS"/>
    <s v="Delhi"/>
    <n v="888"/>
    <x v="18"/>
    <n v="3"/>
    <n v="4843.67"/>
    <n v="0"/>
    <n v="0.83799999999999997"/>
    <n v="3"/>
    <x v="1"/>
  </r>
  <r>
    <s v="T292"/>
    <s v="U9055"/>
    <n v="1915.54"/>
    <s v="Withdrawal"/>
    <s v="UPI"/>
    <s v="Web"/>
    <s v="Delhi"/>
    <n v="1489"/>
    <x v="22"/>
    <n v="2"/>
    <n v="26902.69"/>
    <n v="0"/>
    <n v="0.21099999999999999"/>
    <n v="6"/>
    <x v="1"/>
  </r>
  <r>
    <s v="T293"/>
    <s v="U1075"/>
    <n v="41138.9"/>
    <s v="Payment"/>
    <s v="NetBanking"/>
    <s v="Web"/>
    <s v="Hyderabad"/>
    <n v="264"/>
    <x v="1"/>
    <n v="1"/>
    <n v="26729.02"/>
    <n v="0"/>
    <n v="0.39200000000000002"/>
    <n v="9"/>
    <x v="1"/>
  </r>
  <r>
    <s v="T294"/>
    <s v="U1739"/>
    <n v="18041.52"/>
    <s v="Payment"/>
    <s v="Card"/>
    <s v="Web"/>
    <s v="Chennai"/>
    <n v="14"/>
    <x v="21"/>
    <n v="0"/>
    <n v="7116.62"/>
    <n v="0"/>
    <n v="0.42799999999999999"/>
    <n v="3"/>
    <x v="1"/>
  </r>
  <r>
    <s v="T295"/>
    <s v="U7896"/>
    <n v="6396.67"/>
    <s v="Withdrawal"/>
    <s v="Card"/>
    <s v="Android"/>
    <s v="Chennai"/>
    <n v="1614"/>
    <x v="19"/>
    <n v="3"/>
    <n v="8360.4699999999993"/>
    <n v="0"/>
    <n v="0.66300000000000003"/>
    <n v="5"/>
    <x v="1"/>
  </r>
  <r>
    <s v="T296"/>
    <s v="U9390"/>
    <n v="26136.05"/>
    <s v="Withdrawal"/>
    <s v="NetBanking"/>
    <s v="iOS"/>
    <s v="Hyderabad"/>
    <n v="1085"/>
    <x v="3"/>
    <n v="0"/>
    <n v="9471.08"/>
    <n v="0"/>
    <n v="0.54700000000000004"/>
    <n v="2"/>
    <x v="1"/>
  </r>
  <r>
    <s v="T297"/>
    <s v="U4947"/>
    <n v="38511.18"/>
    <s v="Payment"/>
    <s v="Wallet"/>
    <s v="Web"/>
    <s v="Hyderabad"/>
    <n v="338"/>
    <x v="23"/>
    <n v="0"/>
    <n v="13607.33"/>
    <n v="0"/>
    <n v="0.186"/>
    <n v="9"/>
    <x v="1"/>
  </r>
  <r>
    <s v="T298"/>
    <s v="U7708"/>
    <n v="10830.26"/>
    <s v="Transfer"/>
    <s v="Card"/>
    <s v="Web"/>
    <s v="Bangalore"/>
    <n v="107"/>
    <x v="5"/>
    <n v="2"/>
    <n v="24888.39"/>
    <n v="0"/>
    <n v="0.03"/>
    <n v="8"/>
    <x v="1"/>
  </r>
  <r>
    <s v="T299"/>
    <s v="U3105"/>
    <n v="31163.38"/>
    <s v="Payment"/>
    <s v="NetBanking"/>
    <s v="Web"/>
    <s v="Chennai"/>
    <n v="1194"/>
    <x v="1"/>
    <n v="1"/>
    <n v="4416.66"/>
    <n v="0"/>
    <n v="0.71699999999999997"/>
    <n v="4"/>
    <x v="1"/>
  </r>
  <r>
    <s v="T300"/>
    <s v="U2793"/>
    <n v="4313.1099999999997"/>
    <s v="Payment"/>
    <s v="Card"/>
    <s v="iOS"/>
    <s v="Mumbai"/>
    <n v="1439"/>
    <x v="22"/>
    <n v="0"/>
    <n v="21041.69"/>
    <n v="0"/>
    <n v="0.505"/>
    <n v="8"/>
    <x v="1"/>
  </r>
  <r>
    <s v="T301"/>
    <s v="U5700"/>
    <n v="2631.5"/>
    <s v="Payment"/>
    <s v="NetBanking"/>
    <s v="iOS"/>
    <s v="Delhi"/>
    <n v="990"/>
    <x v="7"/>
    <n v="1"/>
    <n v="10648.73"/>
    <n v="0"/>
    <n v="0.36199999999999999"/>
    <n v="4"/>
    <x v="1"/>
  </r>
  <r>
    <s v="T302"/>
    <s v="U4599"/>
    <n v="26591.16"/>
    <s v="Payment"/>
    <s v="UPI"/>
    <s v="iOS"/>
    <s v="Chennai"/>
    <n v="1012"/>
    <x v="20"/>
    <n v="4"/>
    <n v="5950.33"/>
    <n v="0"/>
    <n v="0.28499999999999998"/>
    <n v="2"/>
    <x v="1"/>
  </r>
  <r>
    <s v="T303"/>
    <s v="U6839"/>
    <n v="27054.720000000001"/>
    <s v="Payment"/>
    <s v="UPI"/>
    <s v="Web"/>
    <s v="Hyderabad"/>
    <n v="792"/>
    <x v="13"/>
    <n v="1"/>
    <n v="10219.31"/>
    <n v="0"/>
    <n v="0.82299999999999995"/>
    <n v="9"/>
    <x v="1"/>
  </r>
  <r>
    <s v="T304"/>
    <s v="U2332"/>
    <n v="31889.62"/>
    <s v="Transfer"/>
    <s v="Card"/>
    <s v="iOS"/>
    <s v="Mumbai"/>
    <n v="586"/>
    <x v="9"/>
    <n v="2"/>
    <n v="16044.95"/>
    <n v="0"/>
    <n v="0.79600000000000004"/>
    <n v="2"/>
    <x v="2"/>
  </r>
  <r>
    <s v="T305"/>
    <s v="U7942"/>
    <n v="36318.26"/>
    <s v="Withdrawal"/>
    <s v="Card"/>
    <s v="Web"/>
    <s v="Bangalore"/>
    <n v="336"/>
    <x v="14"/>
    <n v="2"/>
    <n v="27650.28"/>
    <n v="0"/>
    <n v="0.82599999999999996"/>
    <n v="1"/>
    <x v="1"/>
  </r>
  <r>
    <s v="T306"/>
    <s v="U5148"/>
    <n v="48793.81"/>
    <s v="Withdrawal"/>
    <s v="UPI"/>
    <s v="Android"/>
    <s v="Bangalore"/>
    <n v="1952"/>
    <x v="7"/>
    <n v="4"/>
    <n v="18885.23"/>
    <n v="1"/>
    <n v="0.219"/>
    <n v="1"/>
    <x v="1"/>
  </r>
  <r>
    <s v="T307"/>
    <s v="U6318"/>
    <n v="25839.200000000001"/>
    <s v="Transfer"/>
    <s v="Wallet"/>
    <s v="iOS"/>
    <s v="Mumbai"/>
    <n v="252"/>
    <x v="23"/>
    <n v="2"/>
    <n v="18251.73"/>
    <n v="0"/>
    <n v="0.85199999999999998"/>
    <n v="3"/>
    <x v="1"/>
  </r>
  <r>
    <s v="T308"/>
    <s v="U6076"/>
    <n v="16181.68"/>
    <s v="Withdrawal"/>
    <s v="NetBanking"/>
    <s v="iOS"/>
    <s v="Mumbai"/>
    <n v="1537"/>
    <x v="23"/>
    <n v="1"/>
    <n v="3351.36"/>
    <n v="0"/>
    <n v="0.98599999999999999"/>
    <n v="7"/>
    <x v="1"/>
  </r>
  <r>
    <s v="T309"/>
    <s v="U3242"/>
    <n v="39769.550000000003"/>
    <s v="Withdrawal"/>
    <s v="Wallet"/>
    <s v="Web"/>
    <s v="Hyderabad"/>
    <n v="376"/>
    <x v="14"/>
    <n v="1"/>
    <n v="2486.0500000000002"/>
    <n v="0"/>
    <n v="0.59899999999999998"/>
    <n v="6"/>
    <x v="1"/>
  </r>
  <r>
    <s v="T310"/>
    <s v="U4484"/>
    <n v="13578.07"/>
    <s v="Withdrawal"/>
    <s v="Wallet"/>
    <s v="iOS"/>
    <s v="Hyderabad"/>
    <n v="783"/>
    <x v="12"/>
    <n v="1"/>
    <n v="3970.96"/>
    <n v="0"/>
    <n v="4.7E-2"/>
    <n v="3"/>
    <x v="1"/>
  </r>
  <r>
    <s v="T311"/>
    <s v="U1115"/>
    <n v="21976.62"/>
    <s v="Transfer"/>
    <s v="Wallet"/>
    <s v="iOS"/>
    <s v="Delhi"/>
    <n v="733"/>
    <x v="11"/>
    <n v="2"/>
    <n v="2956.81"/>
    <n v="0"/>
    <n v="0.70199999999999996"/>
    <n v="5"/>
    <x v="1"/>
  </r>
  <r>
    <s v="T312"/>
    <s v="U6968"/>
    <n v="3968.9"/>
    <s v="Transfer"/>
    <s v="UPI"/>
    <s v="Web"/>
    <s v="Delhi"/>
    <n v="1475"/>
    <x v="15"/>
    <n v="1"/>
    <n v="17333.3"/>
    <n v="1"/>
    <n v="0.53800000000000003"/>
    <n v="6"/>
    <x v="1"/>
  </r>
  <r>
    <s v="T313"/>
    <s v="U9847"/>
    <n v="1316.27"/>
    <s v="Withdrawal"/>
    <s v="Card"/>
    <s v="Web"/>
    <s v="Bangalore"/>
    <n v="1187"/>
    <x v="18"/>
    <n v="3"/>
    <n v="13633.2"/>
    <n v="0"/>
    <n v="0.71199999999999997"/>
    <n v="2"/>
    <x v="1"/>
  </r>
  <r>
    <s v="T314"/>
    <s v="U7650"/>
    <n v="48134.29"/>
    <s v="Withdrawal"/>
    <s v="Wallet"/>
    <s v="Web"/>
    <s v="Mumbai"/>
    <n v="243"/>
    <x v="1"/>
    <n v="4"/>
    <n v="249.26"/>
    <n v="0"/>
    <n v="0.188"/>
    <n v="3"/>
    <x v="1"/>
  </r>
  <r>
    <s v="T315"/>
    <s v="U3066"/>
    <n v="41807.21"/>
    <s v="Withdrawal"/>
    <s v="UPI"/>
    <s v="Android"/>
    <s v="Bangalore"/>
    <n v="661"/>
    <x v="16"/>
    <n v="3"/>
    <n v="10596.89"/>
    <n v="0"/>
    <n v="0.60599999999999998"/>
    <n v="4"/>
    <x v="1"/>
  </r>
  <r>
    <s v="T316"/>
    <s v="U6962"/>
    <n v="34813.910000000003"/>
    <s v="Payment"/>
    <s v="NetBanking"/>
    <s v="Web"/>
    <s v="Hyderabad"/>
    <n v="342"/>
    <x v="3"/>
    <n v="1"/>
    <n v="3908.19"/>
    <n v="1"/>
    <n v="0.53900000000000003"/>
    <n v="8"/>
    <x v="1"/>
  </r>
  <r>
    <s v="T317"/>
    <s v="U4681"/>
    <n v="20477.2"/>
    <s v="Payment"/>
    <s v="Card"/>
    <s v="iOS"/>
    <s v="Chennai"/>
    <n v="504"/>
    <x v="17"/>
    <n v="2"/>
    <n v="29644.77"/>
    <n v="0"/>
    <n v="0.60199999999999998"/>
    <n v="1"/>
    <x v="1"/>
  </r>
  <r>
    <s v="T318"/>
    <s v="U8014"/>
    <n v="8706.0499999999993"/>
    <s v="Payment"/>
    <s v="NetBanking"/>
    <s v="Android"/>
    <s v="Hyderabad"/>
    <n v="1148"/>
    <x v="11"/>
    <n v="4"/>
    <n v="13858.71"/>
    <n v="0"/>
    <n v="0.72799999999999998"/>
    <n v="9"/>
    <x v="1"/>
  </r>
  <r>
    <s v="T319"/>
    <s v="U5063"/>
    <n v="7864.03"/>
    <s v="Transfer"/>
    <s v="Wallet"/>
    <s v="Web"/>
    <s v="Chennai"/>
    <n v="378"/>
    <x v="6"/>
    <n v="3"/>
    <n v="12841.19"/>
    <n v="1"/>
    <n v="0.54400000000000004"/>
    <n v="1"/>
    <x v="1"/>
  </r>
  <r>
    <s v="T320"/>
    <s v="U7426"/>
    <n v="12549.63"/>
    <s v="Withdrawal"/>
    <s v="Card"/>
    <s v="Android"/>
    <s v="Mumbai"/>
    <n v="1366"/>
    <x v="10"/>
    <n v="1"/>
    <n v="19360.810000000001"/>
    <n v="0"/>
    <n v="0.32200000000000001"/>
    <n v="3"/>
    <x v="1"/>
  </r>
  <r>
    <s v="T321"/>
    <s v="U3963"/>
    <n v="27483.87"/>
    <s v="Transfer"/>
    <s v="Wallet"/>
    <s v="Android"/>
    <s v="Mumbai"/>
    <n v="1163"/>
    <x v="21"/>
    <n v="2"/>
    <n v="10777.1"/>
    <n v="0"/>
    <n v="0.309"/>
    <n v="3"/>
    <x v="1"/>
  </r>
  <r>
    <s v="T322"/>
    <s v="U6034"/>
    <n v="35744.07"/>
    <s v="Transfer"/>
    <s v="Card"/>
    <s v="iOS"/>
    <s v="Mumbai"/>
    <n v="1961"/>
    <x v="20"/>
    <n v="1"/>
    <n v="21493.89"/>
    <n v="0"/>
    <n v="0.69499999999999995"/>
    <n v="9"/>
    <x v="1"/>
  </r>
  <r>
    <s v="T323"/>
    <s v="U9239"/>
    <n v="33026.86"/>
    <s v="Transfer"/>
    <s v="Wallet"/>
    <s v="Android"/>
    <s v="Delhi"/>
    <n v="1211"/>
    <x v="10"/>
    <n v="3"/>
    <n v="27153.33"/>
    <n v="0"/>
    <n v="0.66400000000000003"/>
    <n v="3"/>
    <x v="1"/>
  </r>
  <r>
    <s v="T324"/>
    <s v="U6130"/>
    <n v="14032.7"/>
    <s v="Withdrawal"/>
    <s v="NetBanking"/>
    <s v="Web"/>
    <s v="Delhi"/>
    <n v="104"/>
    <x v="23"/>
    <n v="3"/>
    <n v="15017.03"/>
    <n v="0"/>
    <n v="0.42199999999999999"/>
    <n v="3"/>
    <x v="1"/>
  </r>
  <r>
    <s v="T325"/>
    <s v="U4038"/>
    <n v="47745.52"/>
    <s v="Payment"/>
    <s v="NetBanking"/>
    <s v="Android"/>
    <s v="Chennai"/>
    <n v="1350"/>
    <x v="0"/>
    <n v="4"/>
    <n v="11549.4"/>
    <n v="0"/>
    <n v="0.35399999999999998"/>
    <n v="2"/>
    <x v="1"/>
  </r>
  <r>
    <s v="T326"/>
    <s v="U5192"/>
    <n v="36907.949999999997"/>
    <s v="Withdrawal"/>
    <s v="Wallet"/>
    <s v="Android"/>
    <s v="Bangalore"/>
    <n v="916"/>
    <x v="3"/>
    <n v="2"/>
    <n v="15704.72"/>
    <n v="0"/>
    <n v="0.62"/>
    <n v="4"/>
    <x v="1"/>
  </r>
  <r>
    <s v="T327"/>
    <s v="U3207"/>
    <n v="27739.98"/>
    <s v="Withdrawal"/>
    <s v="Card"/>
    <s v="iOS"/>
    <s v="Bangalore"/>
    <n v="1134"/>
    <x v="9"/>
    <n v="0"/>
    <n v="18146.23"/>
    <n v="0"/>
    <n v="0.312"/>
    <n v="8"/>
    <x v="1"/>
  </r>
  <r>
    <s v="T328"/>
    <s v="U7857"/>
    <n v="30605.45"/>
    <s v="Transfer"/>
    <s v="NetBanking"/>
    <s v="iOS"/>
    <s v="Chennai"/>
    <n v="1229"/>
    <x v="15"/>
    <n v="1"/>
    <n v="25446.31"/>
    <n v="0"/>
    <n v="0.96299999999999997"/>
    <n v="6"/>
    <x v="1"/>
  </r>
  <r>
    <s v="T329"/>
    <s v="U8267"/>
    <n v="21009.02"/>
    <s v="Transfer"/>
    <s v="Card"/>
    <s v="Web"/>
    <s v="Delhi"/>
    <n v="811"/>
    <x v="19"/>
    <n v="2"/>
    <n v="11894.94"/>
    <n v="0"/>
    <n v="0.59599999999999997"/>
    <n v="1"/>
    <x v="1"/>
  </r>
  <r>
    <s v="T330"/>
    <s v="U1086"/>
    <n v="12424.16"/>
    <s v="Transfer"/>
    <s v="Card"/>
    <s v="iOS"/>
    <s v="Hyderabad"/>
    <n v="217"/>
    <x v="20"/>
    <n v="0"/>
    <n v="1637.8"/>
    <n v="0"/>
    <n v="0.59199999999999997"/>
    <n v="5"/>
    <x v="1"/>
  </r>
  <r>
    <s v="T331"/>
    <s v="U7303"/>
    <n v="17830.84"/>
    <s v="Payment"/>
    <s v="NetBanking"/>
    <s v="Web"/>
    <s v="Chennai"/>
    <n v="616"/>
    <x v="17"/>
    <n v="2"/>
    <n v="18958.939999999999"/>
    <n v="0"/>
    <n v="0.13600000000000001"/>
    <n v="8"/>
    <x v="1"/>
  </r>
  <r>
    <s v="T332"/>
    <s v="U7931"/>
    <n v="37904.410000000003"/>
    <s v="Payment"/>
    <s v="UPI"/>
    <s v="Web"/>
    <s v="Bangalore"/>
    <n v="482"/>
    <x v="14"/>
    <n v="1"/>
    <n v="29607.66"/>
    <n v="0"/>
    <n v="0.61"/>
    <n v="1"/>
    <x v="1"/>
  </r>
  <r>
    <s v="T333"/>
    <s v="U8988"/>
    <n v="768.95"/>
    <s v="Payment"/>
    <s v="UPI"/>
    <s v="iOS"/>
    <s v="Chennai"/>
    <n v="1648"/>
    <x v="11"/>
    <n v="1"/>
    <n v="25641.68"/>
    <n v="0"/>
    <n v="0.29499999999999998"/>
    <n v="6"/>
    <x v="1"/>
  </r>
  <r>
    <s v="T334"/>
    <s v="U6950"/>
    <n v="5847.83"/>
    <s v="Withdrawal"/>
    <s v="Card"/>
    <s v="Android"/>
    <s v="Chennai"/>
    <n v="1041"/>
    <x v="11"/>
    <n v="4"/>
    <n v="22771.85"/>
    <n v="0"/>
    <n v="0.45200000000000001"/>
    <n v="7"/>
    <x v="1"/>
  </r>
  <r>
    <s v="T335"/>
    <s v="U4172"/>
    <n v="2347.83"/>
    <s v="Transfer"/>
    <s v="NetBanking"/>
    <s v="iOS"/>
    <s v="Mumbai"/>
    <n v="145"/>
    <x v="17"/>
    <n v="3"/>
    <n v="5377.41"/>
    <n v="0"/>
    <n v="0.53800000000000003"/>
    <n v="5"/>
    <x v="1"/>
  </r>
  <r>
    <s v="T336"/>
    <s v="U3356"/>
    <n v="2084.4"/>
    <s v="Withdrawal"/>
    <s v="UPI"/>
    <s v="Android"/>
    <s v="Delhi"/>
    <n v="619"/>
    <x v="16"/>
    <n v="3"/>
    <n v="22483.71"/>
    <n v="1"/>
    <n v="0.47799999999999998"/>
    <n v="4"/>
    <x v="1"/>
  </r>
  <r>
    <s v="T337"/>
    <s v="U1489"/>
    <n v="42780.26"/>
    <s v="Payment"/>
    <s v="Wallet"/>
    <s v="Android"/>
    <s v="Mumbai"/>
    <n v="920"/>
    <x v="8"/>
    <n v="3"/>
    <n v="2536.15"/>
    <n v="0"/>
    <n v="0.80900000000000005"/>
    <n v="7"/>
    <x v="1"/>
  </r>
  <r>
    <s v="T338"/>
    <s v="U7732"/>
    <n v="35197.71"/>
    <s v="Transfer"/>
    <s v="Card"/>
    <s v="Web"/>
    <s v="Delhi"/>
    <n v="270"/>
    <x v="22"/>
    <n v="4"/>
    <n v="14868.15"/>
    <n v="1"/>
    <n v="9.9000000000000005E-2"/>
    <n v="9"/>
    <x v="1"/>
  </r>
  <r>
    <s v="T339"/>
    <s v="U9539"/>
    <n v="23734.98"/>
    <s v="Payment"/>
    <s v="UPI"/>
    <s v="Web"/>
    <s v="Chennai"/>
    <n v="1180"/>
    <x v="16"/>
    <n v="3"/>
    <n v="11189.9"/>
    <n v="0"/>
    <n v="0.16700000000000001"/>
    <n v="4"/>
    <x v="1"/>
  </r>
  <r>
    <s v="T340"/>
    <s v="U5372"/>
    <n v="4936.82"/>
    <s v="Transfer"/>
    <s v="NetBanking"/>
    <s v="iOS"/>
    <s v="Delhi"/>
    <n v="467"/>
    <x v="9"/>
    <n v="2"/>
    <n v="27168.06"/>
    <n v="0"/>
    <n v="0.157"/>
    <n v="3"/>
    <x v="1"/>
  </r>
  <r>
    <s v="T341"/>
    <s v="U1767"/>
    <n v="24606.21"/>
    <s v="Transfer"/>
    <s v="NetBanking"/>
    <s v="Android"/>
    <s v="Bangalore"/>
    <n v="1938"/>
    <x v="7"/>
    <n v="3"/>
    <n v="4879.09"/>
    <n v="0"/>
    <n v="0.81699999999999995"/>
    <n v="4"/>
    <x v="2"/>
  </r>
  <r>
    <s v="T342"/>
    <s v="U3835"/>
    <n v="23699.91"/>
    <s v="Withdrawal"/>
    <s v="Card"/>
    <s v="iOS"/>
    <s v="Mumbai"/>
    <n v="1730"/>
    <x v="7"/>
    <n v="3"/>
    <n v="23687.66"/>
    <n v="0"/>
    <n v="0.11799999999999999"/>
    <n v="5"/>
    <x v="2"/>
  </r>
  <r>
    <s v="T343"/>
    <s v="U4586"/>
    <n v="8701.43"/>
    <s v="Withdrawal"/>
    <s v="NetBanking"/>
    <s v="Web"/>
    <s v="Chennai"/>
    <n v="1471"/>
    <x v="3"/>
    <n v="1"/>
    <n v="1550.51"/>
    <n v="0"/>
    <n v="0.97099999999999997"/>
    <n v="9"/>
    <x v="1"/>
  </r>
  <r>
    <s v="T344"/>
    <s v="U4259"/>
    <n v="21720.89"/>
    <s v="Payment"/>
    <s v="Wallet"/>
    <s v="Android"/>
    <s v="Bangalore"/>
    <n v="1446"/>
    <x v="18"/>
    <n v="4"/>
    <n v="21082.47"/>
    <n v="0"/>
    <n v="0.96899999999999997"/>
    <n v="1"/>
    <x v="1"/>
  </r>
  <r>
    <s v="T345"/>
    <s v="U2597"/>
    <n v="19955.310000000001"/>
    <s v="Withdrawal"/>
    <s v="Wallet"/>
    <s v="iOS"/>
    <s v="Delhi"/>
    <n v="1533"/>
    <x v="20"/>
    <n v="4"/>
    <n v="8883.9699999999993"/>
    <n v="0"/>
    <n v="0.99199999999999999"/>
    <n v="9"/>
    <x v="1"/>
  </r>
  <r>
    <s v="T346"/>
    <s v="U9093"/>
    <n v="30811.71"/>
    <s v="Withdrawal"/>
    <s v="UPI"/>
    <s v="iOS"/>
    <s v="Delhi"/>
    <n v="241"/>
    <x v="0"/>
    <n v="3"/>
    <n v="29279.81"/>
    <n v="0"/>
    <n v="0.98"/>
    <n v="9"/>
    <x v="1"/>
  </r>
  <r>
    <s v="T347"/>
    <s v="U7947"/>
    <n v="31772.93"/>
    <s v="Withdrawal"/>
    <s v="NetBanking"/>
    <s v="Web"/>
    <s v="Bangalore"/>
    <n v="110"/>
    <x v="0"/>
    <n v="0"/>
    <n v="20185.13"/>
    <n v="0"/>
    <n v="0.14899999999999999"/>
    <n v="8"/>
    <x v="1"/>
  </r>
  <r>
    <s v="T348"/>
    <s v="U3681"/>
    <n v="2312.94"/>
    <s v="Transfer"/>
    <s v="Wallet"/>
    <s v="Web"/>
    <s v="Delhi"/>
    <n v="156"/>
    <x v="1"/>
    <n v="1"/>
    <n v="9336.27"/>
    <n v="0"/>
    <n v="0.65700000000000003"/>
    <n v="8"/>
    <x v="1"/>
  </r>
  <r>
    <s v="T349"/>
    <s v="U5836"/>
    <n v="18761.900000000001"/>
    <s v="Withdrawal"/>
    <s v="Card"/>
    <s v="Web"/>
    <s v="Mumbai"/>
    <n v="726"/>
    <x v="16"/>
    <n v="3"/>
    <n v="7142.08"/>
    <n v="0"/>
    <n v="0.4"/>
    <n v="8"/>
    <x v="2"/>
  </r>
  <r>
    <s v="T350"/>
    <s v="U8508"/>
    <n v="31311.7"/>
    <s v="Payment"/>
    <s v="NetBanking"/>
    <s v="Web"/>
    <s v="Hyderabad"/>
    <n v="516"/>
    <x v="11"/>
    <n v="0"/>
    <n v="19215.330000000002"/>
    <n v="0"/>
    <n v="0.73199999999999998"/>
    <n v="4"/>
    <x v="1"/>
  </r>
  <r>
    <s v="T351"/>
    <s v="U4018"/>
    <n v="25181.66"/>
    <s v="Transfer"/>
    <s v="UPI"/>
    <s v="iOS"/>
    <s v="Delhi"/>
    <n v="567"/>
    <x v="13"/>
    <n v="2"/>
    <n v="8254.64"/>
    <n v="0"/>
    <n v="0.40600000000000003"/>
    <n v="7"/>
    <x v="1"/>
  </r>
  <r>
    <s v="T352"/>
    <s v="U6920"/>
    <n v="42831.67"/>
    <s v="Transfer"/>
    <s v="Card"/>
    <s v="Web"/>
    <s v="Chennai"/>
    <n v="113"/>
    <x v="15"/>
    <n v="1"/>
    <n v="5685.48"/>
    <n v="0"/>
    <n v="0.38300000000000001"/>
    <n v="2"/>
    <x v="1"/>
  </r>
  <r>
    <s v="T353"/>
    <s v="U4190"/>
    <n v="32951.75"/>
    <s v="Withdrawal"/>
    <s v="Card"/>
    <s v="Web"/>
    <s v="Delhi"/>
    <n v="345"/>
    <x v="5"/>
    <n v="4"/>
    <n v="19465.32"/>
    <n v="0"/>
    <n v="0.90400000000000003"/>
    <n v="3"/>
    <x v="1"/>
  </r>
  <r>
    <s v="T354"/>
    <s v="U6860"/>
    <n v="8188.57"/>
    <s v="Transfer"/>
    <s v="Card"/>
    <s v="iOS"/>
    <s v="Chennai"/>
    <n v="455"/>
    <x v="7"/>
    <n v="0"/>
    <n v="21756.18"/>
    <n v="0"/>
    <n v="0.495"/>
    <n v="8"/>
    <x v="1"/>
  </r>
  <r>
    <s v="T355"/>
    <s v="U1692"/>
    <n v="3574.91"/>
    <s v="Payment"/>
    <s v="Wallet"/>
    <s v="iOS"/>
    <s v="Delhi"/>
    <n v="743"/>
    <x v="0"/>
    <n v="3"/>
    <n v="7217.05"/>
    <n v="0"/>
    <n v="0.74"/>
    <n v="4"/>
    <x v="1"/>
  </r>
  <r>
    <s v="T356"/>
    <s v="U3132"/>
    <n v="32138.84"/>
    <s v="Payment"/>
    <s v="Card"/>
    <s v="Android"/>
    <s v="Delhi"/>
    <n v="453"/>
    <x v="23"/>
    <n v="0"/>
    <n v="16122.59"/>
    <n v="0"/>
    <n v="0.65"/>
    <n v="6"/>
    <x v="1"/>
  </r>
  <r>
    <s v="T357"/>
    <s v="U4138"/>
    <n v="1374.24"/>
    <s v="Transfer"/>
    <s v="Wallet"/>
    <s v="iOS"/>
    <s v="Chennai"/>
    <n v="127"/>
    <x v="18"/>
    <n v="4"/>
    <n v="19942.52"/>
    <n v="1"/>
    <n v="0.65800000000000003"/>
    <n v="8"/>
    <x v="1"/>
  </r>
  <r>
    <s v="T358"/>
    <s v="U4275"/>
    <n v="29309.49"/>
    <s v="Withdrawal"/>
    <s v="Card"/>
    <s v="Android"/>
    <s v="Mumbai"/>
    <n v="1550"/>
    <x v="23"/>
    <n v="2"/>
    <n v="28263.31"/>
    <n v="0"/>
    <n v="0.34899999999999998"/>
    <n v="8"/>
    <x v="1"/>
  </r>
  <r>
    <s v="T359"/>
    <s v="U5622"/>
    <n v="47014.5"/>
    <s v="Withdrawal"/>
    <s v="Wallet"/>
    <s v="Web"/>
    <s v="Hyderabad"/>
    <n v="938"/>
    <x v="21"/>
    <n v="0"/>
    <n v="24122.66"/>
    <n v="0"/>
    <n v="0.252"/>
    <n v="5"/>
    <x v="1"/>
  </r>
  <r>
    <s v="T360"/>
    <s v="U4950"/>
    <n v="28794.94"/>
    <s v="Transfer"/>
    <s v="NetBanking"/>
    <s v="Android"/>
    <s v="Hyderabad"/>
    <n v="732"/>
    <x v="2"/>
    <n v="3"/>
    <n v="12682.36"/>
    <n v="0"/>
    <n v="0.88500000000000001"/>
    <n v="7"/>
    <x v="2"/>
  </r>
  <r>
    <s v="T361"/>
    <s v="U2994"/>
    <n v="19439.09"/>
    <s v="Payment"/>
    <s v="Wallet"/>
    <s v="Android"/>
    <s v="Mumbai"/>
    <n v="576"/>
    <x v="5"/>
    <n v="0"/>
    <n v="25347.78"/>
    <n v="0"/>
    <n v="2.5000000000000001E-2"/>
    <n v="1"/>
    <x v="1"/>
  </r>
  <r>
    <s v="T362"/>
    <s v="U1587"/>
    <n v="32182.25"/>
    <s v="Transfer"/>
    <s v="Wallet"/>
    <s v="Web"/>
    <s v="Delhi"/>
    <n v="1564"/>
    <x v="12"/>
    <n v="2"/>
    <n v="13306.65"/>
    <n v="0"/>
    <n v="0.17299999999999999"/>
    <n v="5"/>
    <x v="1"/>
  </r>
  <r>
    <s v="T363"/>
    <s v="U6415"/>
    <n v="22939.73"/>
    <s v="Withdrawal"/>
    <s v="NetBanking"/>
    <s v="Web"/>
    <s v="Hyderabad"/>
    <n v="1946"/>
    <x v="0"/>
    <n v="0"/>
    <n v="3990.79"/>
    <n v="0"/>
    <n v="0.13300000000000001"/>
    <n v="3"/>
    <x v="1"/>
  </r>
  <r>
    <s v="T364"/>
    <s v="U5633"/>
    <n v="27303.56"/>
    <s v="Withdrawal"/>
    <s v="Card"/>
    <s v="Web"/>
    <s v="Mumbai"/>
    <n v="97"/>
    <x v="16"/>
    <n v="2"/>
    <n v="10298.9"/>
    <n v="0"/>
    <n v="0.94899999999999995"/>
    <n v="4"/>
    <x v="1"/>
  </r>
  <r>
    <s v="T365"/>
    <s v="U5406"/>
    <n v="47076.17"/>
    <s v="Transfer"/>
    <s v="NetBanking"/>
    <s v="Android"/>
    <s v="Mumbai"/>
    <n v="1792"/>
    <x v="12"/>
    <n v="2"/>
    <n v="24161.25"/>
    <n v="0"/>
    <n v="5.0000000000000001E-3"/>
    <n v="1"/>
    <x v="1"/>
  </r>
  <r>
    <s v="T366"/>
    <s v="U2835"/>
    <n v="19335.830000000002"/>
    <s v="Payment"/>
    <s v="Card"/>
    <s v="iOS"/>
    <s v="Hyderabad"/>
    <n v="1662"/>
    <x v="3"/>
    <n v="1"/>
    <n v="28678.560000000001"/>
    <n v="0"/>
    <n v="8.0000000000000002E-3"/>
    <n v="1"/>
    <x v="1"/>
  </r>
  <r>
    <s v="T367"/>
    <s v="U6618"/>
    <n v="48061.47"/>
    <s v="Transfer"/>
    <s v="Wallet"/>
    <s v="iOS"/>
    <s v="Chennai"/>
    <n v="485"/>
    <x v="3"/>
    <n v="1"/>
    <n v="29509.15"/>
    <n v="1"/>
    <n v="0.22700000000000001"/>
    <n v="3"/>
    <x v="1"/>
  </r>
  <r>
    <s v="T368"/>
    <s v="U7399"/>
    <n v="45272.26"/>
    <s v="Payment"/>
    <s v="Card"/>
    <s v="iOS"/>
    <s v="Bangalore"/>
    <n v="1715"/>
    <x v="14"/>
    <n v="3"/>
    <n v="19208.939999999999"/>
    <n v="1"/>
    <n v="0.27900000000000003"/>
    <n v="4"/>
    <x v="1"/>
  </r>
  <r>
    <s v="T369"/>
    <s v="U1154"/>
    <n v="9829.77"/>
    <s v="Payment"/>
    <s v="Wallet"/>
    <s v="Web"/>
    <s v="Chennai"/>
    <n v="1518"/>
    <x v="16"/>
    <n v="3"/>
    <n v="14402.42"/>
    <n v="0"/>
    <n v="0.56000000000000005"/>
    <n v="3"/>
    <x v="1"/>
  </r>
  <r>
    <s v="T370"/>
    <s v="U8287"/>
    <n v="3514.6"/>
    <s v="Transfer"/>
    <s v="Card"/>
    <s v="Web"/>
    <s v="Delhi"/>
    <n v="1695"/>
    <x v="21"/>
    <n v="3"/>
    <n v="4945.51"/>
    <n v="0"/>
    <n v="0.96099999999999997"/>
    <n v="2"/>
    <x v="2"/>
  </r>
  <r>
    <s v="T371"/>
    <s v="U6505"/>
    <n v="5083.8599999999997"/>
    <s v="Transfer"/>
    <s v="Wallet"/>
    <s v="iOS"/>
    <s v="Chennai"/>
    <n v="304"/>
    <x v="13"/>
    <n v="2"/>
    <n v="3165.48"/>
    <n v="0"/>
    <n v="0.46500000000000002"/>
    <n v="7"/>
    <x v="1"/>
  </r>
  <r>
    <s v="T372"/>
    <s v="U8105"/>
    <n v="960.18"/>
    <s v="Payment"/>
    <s v="Wallet"/>
    <s v="Web"/>
    <s v="Bangalore"/>
    <n v="729"/>
    <x v="6"/>
    <n v="2"/>
    <n v="15603.22"/>
    <n v="0"/>
    <n v="0.28899999999999998"/>
    <n v="9"/>
    <x v="1"/>
  </r>
  <r>
    <s v="T373"/>
    <s v="U4498"/>
    <n v="4767.43"/>
    <s v="Payment"/>
    <s v="UPI"/>
    <s v="Android"/>
    <s v="Bangalore"/>
    <n v="1414"/>
    <x v="15"/>
    <n v="1"/>
    <n v="21860.59"/>
    <n v="0"/>
    <n v="0.81699999999999995"/>
    <n v="3"/>
    <x v="1"/>
  </r>
  <r>
    <s v="T374"/>
    <s v="U5453"/>
    <n v="34166.19"/>
    <s v="Payment"/>
    <s v="Card"/>
    <s v="Android"/>
    <s v="Mumbai"/>
    <n v="1004"/>
    <x v="10"/>
    <n v="2"/>
    <n v="9785.27"/>
    <n v="0"/>
    <n v="0.38600000000000001"/>
    <n v="9"/>
    <x v="1"/>
  </r>
  <r>
    <s v="T375"/>
    <s v="U1446"/>
    <n v="3605.87"/>
    <s v="Payment"/>
    <s v="Card"/>
    <s v="Web"/>
    <s v="Delhi"/>
    <n v="1316"/>
    <x v="17"/>
    <n v="1"/>
    <n v="20272.830000000002"/>
    <n v="0"/>
    <n v="0.14199999999999999"/>
    <n v="8"/>
    <x v="1"/>
  </r>
  <r>
    <s v="T376"/>
    <s v="U5209"/>
    <n v="15982.83"/>
    <s v="Withdrawal"/>
    <s v="UPI"/>
    <s v="iOS"/>
    <s v="Mumbai"/>
    <n v="853"/>
    <x v="1"/>
    <n v="0"/>
    <n v="17167.23"/>
    <n v="0"/>
    <n v="0.79500000000000004"/>
    <n v="5"/>
    <x v="1"/>
  </r>
  <r>
    <s v="T377"/>
    <s v="U7353"/>
    <n v="42251.519999999997"/>
    <s v="Transfer"/>
    <s v="Wallet"/>
    <s v="iOS"/>
    <s v="Chennai"/>
    <n v="695"/>
    <x v="2"/>
    <n v="3"/>
    <n v="28228.39"/>
    <n v="0"/>
    <n v="2E-3"/>
    <n v="6"/>
    <x v="1"/>
  </r>
  <r>
    <s v="T378"/>
    <s v="U1466"/>
    <n v="1212.43"/>
    <s v="Payment"/>
    <s v="Wallet"/>
    <s v="Android"/>
    <s v="Chennai"/>
    <n v="648"/>
    <x v="2"/>
    <n v="3"/>
    <n v="6365.75"/>
    <n v="0"/>
    <n v="0.20499999999999999"/>
    <n v="1"/>
    <x v="1"/>
  </r>
  <r>
    <s v="T379"/>
    <s v="U4984"/>
    <n v="40732.699999999997"/>
    <s v="Transfer"/>
    <s v="UPI"/>
    <s v="Web"/>
    <s v="Hyderabad"/>
    <n v="1189"/>
    <x v="7"/>
    <n v="4"/>
    <n v="17772.650000000001"/>
    <n v="0"/>
    <n v="0.63500000000000001"/>
    <n v="6"/>
    <x v="2"/>
  </r>
  <r>
    <s v="T380"/>
    <s v="U2096"/>
    <n v="14128.65"/>
    <s v="Payment"/>
    <s v="UPI"/>
    <s v="iOS"/>
    <s v="Mumbai"/>
    <n v="1213"/>
    <x v="11"/>
    <n v="1"/>
    <n v="12472.53"/>
    <n v="0"/>
    <n v="0.10199999999999999"/>
    <n v="9"/>
    <x v="1"/>
  </r>
  <r>
    <s v="T381"/>
    <s v="U6980"/>
    <n v="5952.33"/>
    <s v="Transfer"/>
    <s v="NetBanking"/>
    <s v="iOS"/>
    <s v="Mumbai"/>
    <n v="970"/>
    <x v="13"/>
    <n v="4"/>
    <n v="7921.11"/>
    <n v="0"/>
    <n v="0.25600000000000001"/>
    <n v="7"/>
    <x v="1"/>
  </r>
  <r>
    <s v="T382"/>
    <s v="U5379"/>
    <n v="34852.019999999997"/>
    <s v="Transfer"/>
    <s v="Wallet"/>
    <s v="Web"/>
    <s v="Mumbai"/>
    <n v="944"/>
    <x v="3"/>
    <n v="3"/>
    <n v="10783.04"/>
    <n v="0"/>
    <n v="0.39300000000000002"/>
    <n v="9"/>
    <x v="1"/>
  </r>
  <r>
    <s v="T383"/>
    <s v="U6878"/>
    <n v="31465.7"/>
    <s v="Payment"/>
    <s v="NetBanking"/>
    <s v="Web"/>
    <s v="Mumbai"/>
    <n v="899"/>
    <x v="15"/>
    <n v="4"/>
    <n v="8906.6"/>
    <n v="0"/>
    <n v="0.39600000000000002"/>
    <n v="5"/>
    <x v="1"/>
  </r>
  <r>
    <s v="T384"/>
    <s v="U4334"/>
    <n v="43879.73"/>
    <s v="Payment"/>
    <s v="Card"/>
    <s v="iOS"/>
    <s v="Bangalore"/>
    <n v="923"/>
    <x v="2"/>
    <n v="0"/>
    <n v="15876.69"/>
    <n v="0"/>
    <n v="0.97299999999999998"/>
    <n v="5"/>
    <x v="1"/>
  </r>
  <r>
    <s v="T385"/>
    <s v="U3821"/>
    <n v="36766.800000000003"/>
    <s v="Transfer"/>
    <s v="NetBanking"/>
    <s v="Web"/>
    <s v="Hyderabad"/>
    <n v="1120"/>
    <x v="12"/>
    <n v="4"/>
    <n v="16785.82"/>
    <n v="0"/>
    <n v="0.67600000000000005"/>
    <n v="5"/>
    <x v="2"/>
  </r>
  <r>
    <s v="T386"/>
    <s v="U2195"/>
    <n v="40183.870000000003"/>
    <s v="Transfer"/>
    <s v="UPI"/>
    <s v="Web"/>
    <s v="Delhi"/>
    <n v="415"/>
    <x v="5"/>
    <n v="0"/>
    <n v="25979.65"/>
    <n v="0"/>
    <n v="3.6999999999999998E-2"/>
    <n v="6"/>
    <x v="1"/>
  </r>
  <r>
    <s v="T387"/>
    <s v="U4715"/>
    <n v="14137.63"/>
    <s v="Transfer"/>
    <s v="UPI"/>
    <s v="Web"/>
    <s v="Delhi"/>
    <n v="1869"/>
    <x v="16"/>
    <n v="3"/>
    <n v="23461.040000000001"/>
    <n v="0"/>
    <n v="0.221"/>
    <n v="4"/>
    <x v="1"/>
  </r>
  <r>
    <s v="T388"/>
    <s v="U6071"/>
    <n v="8913.11"/>
    <s v="Withdrawal"/>
    <s v="UPI"/>
    <s v="iOS"/>
    <s v="Delhi"/>
    <n v="1529"/>
    <x v="23"/>
    <n v="2"/>
    <n v="9145.2099999999991"/>
    <n v="0"/>
    <n v="0.61599999999999999"/>
    <n v="9"/>
    <x v="1"/>
  </r>
  <r>
    <s v="T389"/>
    <s v="U2776"/>
    <n v="37543.21"/>
    <s v="Payment"/>
    <s v="UPI"/>
    <s v="Android"/>
    <s v="Bangalore"/>
    <n v="1300"/>
    <x v="8"/>
    <n v="1"/>
    <n v="27946.63"/>
    <n v="0"/>
    <n v="0.71299999999999997"/>
    <n v="7"/>
    <x v="1"/>
  </r>
  <r>
    <s v="T390"/>
    <s v="U4547"/>
    <n v="40351.4"/>
    <s v="Withdrawal"/>
    <s v="NetBanking"/>
    <s v="Web"/>
    <s v="Hyderabad"/>
    <n v="1627"/>
    <x v="4"/>
    <n v="4"/>
    <n v="26063.75"/>
    <n v="0"/>
    <n v="0.38100000000000001"/>
    <n v="3"/>
    <x v="1"/>
  </r>
  <r>
    <s v="T391"/>
    <s v="U2373"/>
    <n v="49525.73"/>
    <s v="Withdrawal"/>
    <s v="NetBanking"/>
    <s v="iOS"/>
    <s v="Hyderabad"/>
    <n v="1097"/>
    <x v="17"/>
    <n v="0"/>
    <n v="18813.3"/>
    <n v="0"/>
    <n v="0.85699999999999998"/>
    <n v="7"/>
    <x v="1"/>
  </r>
  <r>
    <s v="T392"/>
    <s v="U5788"/>
    <n v="20660.25"/>
    <s v="Payment"/>
    <s v="NetBanking"/>
    <s v="Android"/>
    <s v="Bangalore"/>
    <n v="128"/>
    <x v="0"/>
    <n v="3"/>
    <n v="656.99"/>
    <n v="0"/>
    <n v="0.94299999999999995"/>
    <n v="3"/>
    <x v="1"/>
  </r>
  <r>
    <s v="T393"/>
    <s v="U3370"/>
    <n v="18632.3"/>
    <s v="Payment"/>
    <s v="UPI"/>
    <s v="iOS"/>
    <s v="Mumbai"/>
    <n v="350"/>
    <x v="13"/>
    <n v="3"/>
    <n v="6353.18"/>
    <n v="0"/>
    <n v="0.61399999999999999"/>
    <n v="3"/>
    <x v="1"/>
  </r>
  <r>
    <s v="T394"/>
    <s v="U6248"/>
    <n v="38831.83"/>
    <s v="Withdrawal"/>
    <s v="UPI"/>
    <s v="iOS"/>
    <s v="Chennai"/>
    <n v="322"/>
    <x v="2"/>
    <n v="2"/>
    <n v="23700.65"/>
    <n v="0"/>
    <n v="0.56200000000000006"/>
    <n v="4"/>
    <x v="1"/>
  </r>
  <r>
    <s v="T395"/>
    <s v="U3513"/>
    <n v="17073.14"/>
    <s v="Payment"/>
    <s v="Wallet"/>
    <s v="iOS"/>
    <s v="Mumbai"/>
    <n v="172"/>
    <x v="15"/>
    <n v="3"/>
    <n v="13667.45"/>
    <n v="0"/>
    <n v="0.751"/>
    <n v="2"/>
    <x v="1"/>
  </r>
  <r>
    <s v="T396"/>
    <s v="U6335"/>
    <n v="46541.33"/>
    <s v="Transfer"/>
    <s v="Wallet"/>
    <s v="Android"/>
    <s v="Delhi"/>
    <n v="1538"/>
    <x v="15"/>
    <n v="3"/>
    <n v="3865.92"/>
    <n v="0"/>
    <n v="0.78200000000000003"/>
    <n v="8"/>
    <x v="1"/>
  </r>
  <r>
    <s v="T397"/>
    <s v="U2505"/>
    <n v="42927.72"/>
    <s v="Transfer"/>
    <s v="UPI"/>
    <s v="iOS"/>
    <s v="Mumbai"/>
    <n v="302"/>
    <x v="23"/>
    <n v="2"/>
    <n v="12306.96"/>
    <n v="0"/>
    <n v="0.215"/>
    <n v="1"/>
    <x v="1"/>
  </r>
  <r>
    <s v="T398"/>
    <s v="U8888"/>
    <n v="21478.25"/>
    <s v="Withdrawal"/>
    <s v="Wallet"/>
    <s v="Android"/>
    <s v="Bangalore"/>
    <n v="699"/>
    <x v="18"/>
    <n v="3"/>
    <n v="6435.9"/>
    <n v="0"/>
    <n v="0.48399999999999999"/>
    <n v="1"/>
    <x v="1"/>
  </r>
  <r>
    <s v="T399"/>
    <s v="U3797"/>
    <n v="37556.01"/>
    <s v="Withdrawal"/>
    <s v="Card"/>
    <s v="Web"/>
    <s v="Delhi"/>
    <n v="1410"/>
    <x v="14"/>
    <n v="0"/>
    <n v="26787.77"/>
    <n v="0"/>
    <n v="0.44700000000000001"/>
    <n v="1"/>
    <x v="1"/>
  </r>
  <r>
    <s v="T400"/>
    <s v="U6641"/>
    <n v="37739.42"/>
    <s v="Payment"/>
    <s v="Card"/>
    <s v="Android"/>
    <s v="Chennai"/>
    <n v="1575"/>
    <x v="10"/>
    <n v="4"/>
    <n v="26688.83"/>
    <n v="0"/>
    <n v="0.94099999999999995"/>
    <n v="4"/>
    <x v="2"/>
  </r>
  <r>
    <s v="T401"/>
    <s v="U2912"/>
    <n v="5201.04"/>
    <s v="Payment"/>
    <s v="UPI"/>
    <s v="iOS"/>
    <s v="Delhi"/>
    <n v="1434"/>
    <x v="17"/>
    <n v="4"/>
    <n v="11673.16"/>
    <n v="0"/>
    <n v="0.112"/>
    <n v="1"/>
    <x v="1"/>
  </r>
  <r>
    <s v="T402"/>
    <s v="U3030"/>
    <n v="45132.52"/>
    <s v="Withdrawal"/>
    <s v="NetBanking"/>
    <s v="Android"/>
    <s v="Mumbai"/>
    <n v="682"/>
    <x v="16"/>
    <n v="0"/>
    <n v="4208.07"/>
    <n v="0"/>
    <n v="0.94299999999999995"/>
    <n v="3"/>
    <x v="1"/>
  </r>
  <r>
    <s v="T403"/>
    <s v="U2631"/>
    <n v="25287.360000000001"/>
    <s v="Withdrawal"/>
    <s v="Card"/>
    <s v="iOS"/>
    <s v="Hyderabad"/>
    <n v="1433"/>
    <x v="15"/>
    <n v="4"/>
    <n v="10829.05"/>
    <n v="0"/>
    <n v="0.57299999999999995"/>
    <n v="7"/>
    <x v="1"/>
  </r>
  <r>
    <s v="T404"/>
    <s v="U9534"/>
    <n v="41331.550000000003"/>
    <s v="Transfer"/>
    <s v="Card"/>
    <s v="Web"/>
    <s v="Hyderabad"/>
    <n v="408"/>
    <x v="11"/>
    <n v="3"/>
    <n v="3949.32"/>
    <n v="0"/>
    <n v="0.28799999999999998"/>
    <n v="3"/>
    <x v="1"/>
  </r>
  <r>
    <s v="T405"/>
    <s v="U4732"/>
    <n v="16036.48"/>
    <s v="Transfer"/>
    <s v="NetBanking"/>
    <s v="Android"/>
    <s v="Hyderabad"/>
    <n v="918"/>
    <x v="8"/>
    <n v="4"/>
    <n v="9190.98"/>
    <n v="1"/>
    <n v="0.86899999999999999"/>
    <n v="2"/>
    <x v="1"/>
  </r>
  <r>
    <s v="T406"/>
    <s v="U7389"/>
    <n v="44781.39"/>
    <s v="Payment"/>
    <s v="Wallet"/>
    <s v="Web"/>
    <s v="Delhi"/>
    <n v="496"/>
    <x v="8"/>
    <n v="4"/>
    <n v="23158.33"/>
    <n v="0"/>
    <n v="0.05"/>
    <n v="6"/>
    <x v="1"/>
  </r>
  <r>
    <s v="T407"/>
    <s v="U9418"/>
    <n v="19490.62"/>
    <s v="Transfer"/>
    <s v="NetBanking"/>
    <s v="Android"/>
    <s v="Hyderabad"/>
    <n v="1548"/>
    <x v="12"/>
    <n v="3"/>
    <n v="8829.2000000000007"/>
    <n v="0"/>
    <n v="0.31900000000000001"/>
    <n v="8"/>
    <x v="2"/>
  </r>
  <r>
    <s v="T408"/>
    <s v="U2132"/>
    <n v="591.34"/>
    <s v="Payment"/>
    <s v="Wallet"/>
    <s v="iOS"/>
    <s v="Bangalore"/>
    <n v="1057"/>
    <x v="15"/>
    <n v="4"/>
    <n v="16371.64"/>
    <n v="0"/>
    <n v="0.753"/>
    <n v="4"/>
    <x v="1"/>
  </r>
  <r>
    <s v="T409"/>
    <s v="U1043"/>
    <n v="45273.83"/>
    <s v="Payment"/>
    <s v="Wallet"/>
    <s v="Android"/>
    <s v="Chennai"/>
    <n v="1952"/>
    <x v="13"/>
    <n v="3"/>
    <n v="3654.31"/>
    <n v="0"/>
    <n v="0.82799999999999996"/>
    <n v="4"/>
    <x v="1"/>
  </r>
  <r>
    <s v="T410"/>
    <s v="U9670"/>
    <n v="4609.7700000000004"/>
    <s v="Payment"/>
    <s v="NetBanking"/>
    <s v="Web"/>
    <s v="Hyderabad"/>
    <n v="1092"/>
    <x v="17"/>
    <n v="2"/>
    <n v="10494"/>
    <n v="0"/>
    <n v="0.16700000000000001"/>
    <n v="2"/>
    <x v="2"/>
  </r>
  <r>
    <s v="T411"/>
    <s v="U3415"/>
    <n v="15999.72"/>
    <s v="Transfer"/>
    <s v="Wallet"/>
    <s v="Android"/>
    <s v="Bangalore"/>
    <n v="758"/>
    <x v="5"/>
    <n v="2"/>
    <n v="1285.17"/>
    <n v="1"/>
    <n v="0.94199999999999995"/>
    <n v="5"/>
    <x v="1"/>
  </r>
  <r>
    <s v="T412"/>
    <s v="U4575"/>
    <n v="47505.599999999999"/>
    <s v="Withdrawal"/>
    <s v="Card"/>
    <s v="Web"/>
    <s v="Bangalore"/>
    <n v="249"/>
    <x v="16"/>
    <n v="4"/>
    <n v="16490.23"/>
    <n v="0"/>
    <n v="5.3999999999999999E-2"/>
    <n v="8"/>
    <x v="1"/>
  </r>
  <r>
    <s v="T413"/>
    <s v="U8835"/>
    <n v="47532.83"/>
    <s v="Withdrawal"/>
    <s v="UPI"/>
    <s v="Web"/>
    <s v="Delhi"/>
    <n v="320"/>
    <x v="6"/>
    <n v="2"/>
    <n v="10493.93"/>
    <n v="0"/>
    <n v="0.434"/>
    <n v="1"/>
    <x v="1"/>
  </r>
  <r>
    <s v="T414"/>
    <s v="U3389"/>
    <n v="28693.22"/>
    <s v="Transfer"/>
    <s v="Wallet"/>
    <s v="iOS"/>
    <s v="Delhi"/>
    <n v="330"/>
    <x v="20"/>
    <n v="4"/>
    <n v="26172.92"/>
    <n v="1"/>
    <n v="9.7000000000000003E-2"/>
    <n v="2"/>
    <x v="1"/>
  </r>
  <r>
    <s v="T415"/>
    <s v="U5844"/>
    <n v="31610.27"/>
    <s v="Withdrawal"/>
    <s v="Card"/>
    <s v="Android"/>
    <s v="Chennai"/>
    <n v="681"/>
    <x v="18"/>
    <n v="2"/>
    <n v="11837.32"/>
    <n v="0"/>
    <n v="9.8000000000000004E-2"/>
    <n v="1"/>
    <x v="1"/>
  </r>
  <r>
    <s v="T416"/>
    <s v="U4351"/>
    <n v="22449.85"/>
    <s v="Payment"/>
    <s v="NetBanking"/>
    <s v="Web"/>
    <s v="Chennai"/>
    <n v="1514"/>
    <x v="15"/>
    <n v="4"/>
    <n v="16777.48"/>
    <n v="0"/>
    <n v="0.91400000000000003"/>
    <n v="4"/>
    <x v="2"/>
  </r>
  <r>
    <s v="T417"/>
    <s v="U2105"/>
    <n v="14695.88"/>
    <s v="Withdrawal"/>
    <s v="Wallet"/>
    <s v="iOS"/>
    <s v="Mumbai"/>
    <n v="581"/>
    <x v="20"/>
    <n v="1"/>
    <n v="29301.66"/>
    <n v="0"/>
    <n v="0.90400000000000003"/>
    <n v="7"/>
    <x v="1"/>
  </r>
  <r>
    <s v="T418"/>
    <s v="U6590"/>
    <n v="16466.79"/>
    <s v="Transfer"/>
    <s v="Card"/>
    <s v="iOS"/>
    <s v="Chennai"/>
    <n v="1785"/>
    <x v="11"/>
    <n v="0"/>
    <n v="19316.91"/>
    <n v="0"/>
    <n v="0.61499999999999999"/>
    <n v="3"/>
    <x v="1"/>
  </r>
  <r>
    <s v="T419"/>
    <s v="U2012"/>
    <n v="33642.300000000003"/>
    <s v="Withdrawal"/>
    <s v="Wallet"/>
    <s v="iOS"/>
    <s v="Delhi"/>
    <n v="423"/>
    <x v="4"/>
    <n v="2"/>
    <n v="15064.11"/>
    <n v="0"/>
    <n v="0.96599999999999997"/>
    <n v="8"/>
    <x v="1"/>
  </r>
  <r>
    <s v="T420"/>
    <s v="U4422"/>
    <n v="37631.11"/>
    <s v="Payment"/>
    <s v="NetBanking"/>
    <s v="Web"/>
    <s v="Bangalore"/>
    <n v="1355"/>
    <x v="19"/>
    <n v="3"/>
    <n v="3033.93"/>
    <n v="0"/>
    <n v="0.49099999999999999"/>
    <n v="6"/>
    <x v="1"/>
  </r>
  <r>
    <s v="T421"/>
    <s v="U9305"/>
    <n v="39589.370000000003"/>
    <s v="Payment"/>
    <s v="UPI"/>
    <s v="Android"/>
    <s v="Mumbai"/>
    <n v="411"/>
    <x v="7"/>
    <n v="0"/>
    <n v="24646.83"/>
    <n v="0"/>
    <n v="0.78300000000000003"/>
    <n v="2"/>
    <x v="1"/>
  </r>
  <r>
    <s v="T422"/>
    <s v="U4607"/>
    <n v="39491.43"/>
    <s v="Transfer"/>
    <s v="Wallet"/>
    <s v="Web"/>
    <s v="Chennai"/>
    <n v="68"/>
    <x v="15"/>
    <n v="4"/>
    <n v="19307.259999999998"/>
    <n v="0"/>
    <n v="9.7000000000000003E-2"/>
    <n v="9"/>
    <x v="1"/>
  </r>
  <r>
    <s v="T423"/>
    <s v="U6835"/>
    <n v="4605.74"/>
    <s v="Transfer"/>
    <s v="UPI"/>
    <s v="iOS"/>
    <s v="Bangalore"/>
    <n v="62"/>
    <x v="12"/>
    <n v="0"/>
    <n v="3344.88"/>
    <n v="0"/>
    <n v="0.39600000000000002"/>
    <n v="9"/>
    <x v="1"/>
  </r>
  <r>
    <s v="T424"/>
    <s v="U8852"/>
    <n v="24746.29"/>
    <s v="Transfer"/>
    <s v="Wallet"/>
    <s v="Web"/>
    <s v="Delhi"/>
    <n v="1097"/>
    <x v="2"/>
    <n v="3"/>
    <n v="7445.51"/>
    <n v="0"/>
    <n v="0.51500000000000001"/>
    <n v="7"/>
    <x v="1"/>
  </r>
  <r>
    <s v="T425"/>
    <s v="U2276"/>
    <n v="2925.06"/>
    <s v="Payment"/>
    <s v="Wallet"/>
    <s v="Web"/>
    <s v="Hyderabad"/>
    <n v="642"/>
    <x v="20"/>
    <n v="3"/>
    <n v="16175.66"/>
    <n v="0"/>
    <n v="0.77800000000000002"/>
    <n v="8"/>
    <x v="1"/>
  </r>
  <r>
    <s v="T426"/>
    <s v="U5733"/>
    <n v="27498.97"/>
    <s v="Withdrawal"/>
    <s v="NetBanking"/>
    <s v="iOS"/>
    <s v="Mumbai"/>
    <n v="1152"/>
    <x v="11"/>
    <n v="4"/>
    <n v="1447.37"/>
    <n v="0"/>
    <n v="0.33400000000000002"/>
    <n v="1"/>
    <x v="2"/>
  </r>
  <r>
    <s v="T427"/>
    <s v="U5623"/>
    <n v="22104.45"/>
    <s v="Withdrawal"/>
    <s v="Wallet"/>
    <s v="Android"/>
    <s v="Bangalore"/>
    <n v="295"/>
    <x v="19"/>
    <n v="2"/>
    <n v="21577.47"/>
    <n v="0"/>
    <n v="0.98"/>
    <n v="6"/>
    <x v="1"/>
  </r>
  <r>
    <s v="T428"/>
    <s v="U4587"/>
    <n v="44390.82"/>
    <s v="Transfer"/>
    <s v="Card"/>
    <s v="iOS"/>
    <s v="Delhi"/>
    <n v="27"/>
    <x v="12"/>
    <n v="2"/>
    <n v="6911.04"/>
    <n v="0"/>
    <n v="0.73499999999999999"/>
    <n v="9"/>
    <x v="1"/>
  </r>
  <r>
    <s v="T429"/>
    <s v="U1553"/>
    <n v="17578.2"/>
    <s v="Withdrawal"/>
    <s v="Card"/>
    <s v="iOS"/>
    <s v="Delhi"/>
    <n v="1038"/>
    <x v="3"/>
    <n v="1"/>
    <n v="14742.35"/>
    <n v="0"/>
    <n v="0.53300000000000003"/>
    <n v="6"/>
    <x v="2"/>
  </r>
  <r>
    <s v="T430"/>
    <s v="U6457"/>
    <n v="5897.5"/>
    <s v="Withdrawal"/>
    <s v="UPI"/>
    <s v="Web"/>
    <s v="Mumbai"/>
    <n v="1870"/>
    <x v="0"/>
    <n v="3"/>
    <n v="7325.14"/>
    <n v="1"/>
    <n v="0.33100000000000002"/>
    <n v="3"/>
    <x v="1"/>
  </r>
  <r>
    <s v="T431"/>
    <s v="U4350"/>
    <n v="7192.43"/>
    <s v="Transfer"/>
    <s v="UPI"/>
    <s v="iOS"/>
    <s v="Mumbai"/>
    <n v="1425"/>
    <x v="17"/>
    <n v="1"/>
    <n v="14726.69"/>
    <n v="0"/>
    <n v="0.64200000000000002"/>
    <n v="2"/>
    <x v="1"/>
  </r>
  <r>
    <s v="T432"/>
    <s v="U3282"/>
    <n v="38087.46"/>
    <s v="Transfer"/>
    <s v="Card"/>
    <s v="Web"/>
    <s v="Chennai"/>
    <n v="1938"/>
    <x v="23"/>
    <n v="3"/>
    <n v="5771.4"/>
    <n v="0"/>
    <n v="0.67300000000000004"/>
    <n v="8"/>
    <x v="1"/>
  </r>
  <r>
    <s v="T433"/>
    <s v="U4296"/>
    <n v="30929.99"/>
    <s v="Payment"/>
    <s v="UPI"/>
    <s v="iOS"/>
    <s v="Chennai"/>
    <n v="169"/>
    <x v="2"/>
    <n v="1"/>
    <n v="17858.23"/>
    <n v="0"/>
    <n v="0.67900000000000005"/>
    <n v="4"/>
    <x v="1"/>
  </r>
  <r>
    <s v="T434"/>
    <s v="U1390"/>
    <n v="5101.08"/>
    <s v="Payment"/>
    <s v="UPI"/>
    <s v="iOS"/>
    <s v="Mumbai"/>
    <n v="1921"/>
    <x v="23"/>
    <n v="2"/>
    <n v="27321.16"/>
    <n v="1"/>
    <n v="0.58599999999999997"/>
    <n v="1"/>
    <x v="1"/>
  </r>
  <r>
    <s v="T435"/>
    <s v="U1218"/>
    <n v="4251.13"/>
    <s v="Payment"/>
    <s v="Card"/>
    <s v="Android"/>
    <s v="Mumbai"/>
    <n v="151"/>
    <x v="17"/>
    <n v="3"/>
    <n v="24239.34"/>
    <n v="0"/>
    <n v="0.4"/>
    <n v="8"/>
    <x v="1"/>
  </r>
  <r>
    <s v="T436"/>
    <s v="U1924"/>
    <n v="35063.410000000003"/>
    <s v="Payment"/>
    <s v="Card"/>
    <s v="iOS"/>
    <s v="Bangalore"/>
    <n v="406"/>
    <x v="19"/>
    <n v="2"/>
    <n v="7321.47"/>
    <n v="0"/>
    <n v="0.81699999999999995"/>
    <n v="1"/>
    <x v="1"/>
  </r>
  <r>
    <s v="T437"/>
    <s v="U5431"/>
    <n v="3684.51"/>
    <s v="Withdrawal"/>
    <s v="Card"/>
    <s v="Android"/>
    <s v="Chennai"/>
    <n v="1051"/>
    <x v="4"/>
    <n v="0"/>
    <n v="14993.47"/>
    <n v="0"/>
    <n v="0.25800000000000001"/>
    <n v="2"/>
    <x v="1"/>
  </r>
  <r>
    <s v="T438"/>
    <s v="U1724"/>
    <n v="41101.910000000003"/>
    <s v="Withdrawal"/>
    <s v="NetBanking"/>
    <s v="iOS"/>
    <s v="Delhi"/>
    <n v="589"/>
    <x v="22"/>
    <n v="2"/>
    <n v="12750.94"/>
    <n v="0"/>
    <n v="0.625"/>
    <n v="1"/>
    <x v="1"/>
  </r>
  <r>
    <s v="T439"/>
    <s v="U2091"/>
    <n v="35326.800000000003"/>
    <s v="Payment"/>
    <s v="NetBanking"/>
    <s v="iOS"/>
    <s v="Chennai"/>
    <n v="1147"/>
    <x v="9"/>
    <n v="3"/>
    <n v="28967.71"/>
    <n v="0"/>
    <n v="0.47199999999999998"/>
    <n v="8"/>
    <x v="1"/>
  </r>
  <r>
    <s v="T440"/>
    <s v="U9400"/>
    <n v="4113.37"/>
    <s v="Payment"/>
    <s v="Card"/>
    <s v="iOS"/>
    <s v="Chennai"/>
    <n v="543"/>
    <x v="19"/>
    <n v="0"/>
    <n v="23984.75"/>
    <n v="0"/>
    <n v="0.89300000000000002"/>
    <n v="3"/>
    <x v="1"/>
  </r>
  <r>
    <s v="T441"/>
    <s v="U9211"/>
    <n v="4287.6400000000003"/>
    <s v="Transfer"/>
    <s v="Wallet"/>
    <s v="Android"/>
    <s v="Mumbai"/>
    <n v="1565"/>
    <x v="9"/>
    <n v="1"/>
    <n v="3312.12"/>
    <n v="0"/>
    <n v="0.59099999999999997"/>
    <n v="9"/>
    <x v="1"/>
  </r>
  <r>
    <s v="T442"/>
    <s v="U8574"/>
    <n v="49332.65"/>
    <s v="Withdrawal"/>
    <s v="Card"/>
    <s v="Web"/>
    <s v="Mumbai"/>
    <n v="920"/>
    <x v="5"/>
    <n v="4"/>
    <n v="5139.72"/>
    <n v="0"/>
    <n v="0.85599999999999998"/>
    <n v="7"/>
    <x v="1"/>
  </r>
  <r>
    <s v="T443"/>
    <s v="U9203"/>
    <n v="18744.830000000002"/>
    <s v="Withdrawal"/>
    <s v="NetBanking"/>
    <s v="Android"/>
    <s v="Chennai"/>
    <n v="1808"/>
    <x v="15"/>
    <n v="3"/>
    <n v="21090.65"/>
    <n v="0"/>
    <n v="0.95299999999999996"/>
    <n v="6"/>
    <x v="1"/>
  </r>
  <r>
    <s v="T444"/>
    <s v="U1662"/>
    <n v="18563.580000000002"/>
    <s v="Payment"/>
    <s v="UPI"/>
    <s v="iOS"/>
    <s v="Hyderabad"/>
    <n v="470"/>
    <x v="19"/>
    <n v="4"/>
    <n v="4879.76"/>
    <n v="0"/>
    <n v="0.127"/>
    <n v="6"/>
    <x v="2"/>
  </r>
  <r>
    <s v="T445"/>
    <s v="U4501"/>
    <n v="40649.339999999997"/>
    <s v="Withdrawal"/>
    <s v="Wallet"/>
    <s v="Web"/>
    <s v="Hyderabad"/>
    <n v="1643"/>
    <x v="22"/>
    <n v="4"/>
    <n v="28519.01"/>
    <n v="0"/>
    <n v="0.55500000000000005"/>
    <n v="1"/>
    <x v="1"/>
  </r>
  <r>
    <s v="T446"/>
    <s v="U4524"/>
    <n v="47365.07"/>
    <s v="Transfer"/>
    <s v="Wallet"/>
    <s v="iOS"/>
    <s v="Chennai"/>
    <n v="1650"/>
    <x v="14"/>
    <n v="0"/>
    <n v="29789.11"/>
    <n v="0"/>
    <n v="0.88400000000000001"/>
    <n v="8"/>
    <x v="1"/>
  </r>
  <r>
    <s v="T447"/>
    <s v="U4243"/>
    <n v="49300.75"/>
    <s v="Transfer"/>
    <s v="UPI"/>
    <s v="Android"/>
    <s v="Hyderabad"/>
    <n v="295"/>
    <x v="5"/>
    <n v="1"/>
    <n v="23373.29"/>
    <n v="0"/>
    <n v="0.872"/>
    <n v="3"/>
    <x v="1"/>
  </r>
  <r>
    <s v="T448"/>
    <s v="U2456"/>
    <n v="37681.24"/>
    <s v="Withdrawal"/>
    <s v="Wallet"/>
    <s v="Android"/>
    <s v="Chennai"/>
    <n v="1038"/>
    <x v="16"/>
    <n v="2"/>
    <n v="901.33"/>
    <n v="1"/>
    <n v="0.19600000000000001"/>
    <n v="3"/>
    <x v="1"/>
  </r>
  <r>
    <s v="T449"/>
    <s v="U3177"/>
    <n v="18844.169999999998"/>
    <s v="Payment"/>
    <s v="UPI"/>
    <s v="Web"/>
    <s v="Mumbai"/>
    <n v="138"/>
    <x v="1"/>
    <n v="0"/>
    <n v="14533.53"/>
    <n v="0"/>
    <n v="0.48099999999999998"/>
    <n v="3"/>
    <x v="1"/>
  </r>
  <r>
    <s v="T450"/>
    <s v="U9808"/>
    <n v="4220.8599999999997"/>
    <s v="Withdrawal"/>
    <s v="NetBanking"/>
    <s v="Android"/>
    <s v="Mumbai"/>
    <n v="965"/>
    <x v="21"/>
    <n v="1"/>
    <n v="12241.78"/>
    <n v="0"/>
    <n v="0.223"/>
    <n v="9"/>
    <x v="1"/>
  </r>
  <r>
    <s v="T451"/>
    <s v="U8497"/>
    <n v="38868.49"/>
    <s v="Transfer"/>
    <s v="Wallet"/>
    <s v="iOS"/>
    <s v="Mumbai"/>
    <n v="680"/>
    <x v="11"/>
    <n v="2"/>
    <n v="24006.12"/>
    <n v="0"/>
    <n v="0.89700000000000002"/>
    <n v="5"/>
    <x v="1"/>
  </r>
  <r>
    <s v="T452"/>
    <s v="U6669"/>
    <n v="27942.29"/>
    <s v="Payment"/>
    <s v="Wallet"/>
    <s v="Web"/>
    <s v="Delhi"/>
    <n v="1796"/>
    <x v="4"/>
    <n v="2"/>
    <n v="8681.5499999999993"/>
    <n v="0"/>
    <n v="3.0000000000000001E-3"/>
    <n v="2"/>
    <x v="1"/>
  </r>
  <r>
    <s v="T453"/>
    <s v="U5044"/>
    <n v="21239.89"/>
    <s v="Withdrawal"/>
    <s v="UPI"/>
    <s v="iOS"/>
    <s v="Mumbai"/>
    <n v="508"/>
    <x v="22"/>
    <n v="1"/>
    <n v="11645.17"/>
    <n v="0"/>
    <n v="0.218"/>
    <n v="4"/>
    <x v="1"/>
  </r>
  <r>
    <s v="T454"/>
    <s v="U9609"/>
    <n v="45322.400000000001"/>
    <s v="Payment"/>
    <s v="UPI"/>
    <s v="Web"/>
    <s v="Mumbai"/>
    <n v="285"/>
    <x v="8"/>
    <n v="2"/>
    <n v="2895.69"/>
    <n v="0"/>
    <n v="0.40899999999999997"/>
    <n v="7"/>
    <x v="1"/>
  </r>
  <r>
    <s v="T455"/>
    <s v="U9865"/>
    <n v="5604.31"/>
    <s v="Payment"/>
    <s v="NetBanking"/>
    <s v="Web"/>
    <s v="Chennai"/>
    <n v="1116"/>
    <x v="12"/>
    <n v="3"/>
    <n v="10344.82"/>
    <n v="0"/>
    <n v="0.221"/>
    <n v="1"/>
    <x v="1"/>
  </r>
  <r>
    <s v="T456"/>
    <s v="U9057"/>
    <n v="24656.62"/>
    <s v="Transfer"/>
    <s v="UPI"/>
    <s v="iOS"/>
    <s v="Hyderabad"/>
    <n v="1865"/>
    <x v="20"/>
    <n v="3"/>
    <n v="29218.23"/>
    <n v="0"/>
    <n v="0.97399999999999998"/>
    <n v="2"/>
    <x v="1"/>
  </r>
  <r>
    <s v="T457"/>
    <s v="U1893"/>
    <n v="617.11"/>
    <s v="Payment"/>
    <s v="UPI"/>
    <s v="Android"/>
    <s v="Hyderabad"/>
    <n v="1151"/>
    <x v="0"/>
    <n v="0"/>
    <n v="28270.28"/>
    <n v="0"/>
    <n v="0.24399999999999999"/>
    <n v="8"/>
    <x v="1"/>
  </r>
  <r>
    <s v="T458"/>
    <s v="U3656"/>
    <n v="23459.599999999999"/>
    <s v="Withdrawal"/>
    <s v="NetBanking"/>
    <s v="iOS"/>
    <s v="Mumbai"/>
    <n v="1993"/>
    <x v="18"/>
    <n v="2"/>
    <n v="22532.75"/>
    <n v="0"/>
    <n v="0.36199999999999999"/>
    <n v="8"/>
    <x v="1"/>
  </r>
  <r>
    <s v="T459"/>
    <s v="U3809"/>
    <n v="2862.35"/>
    <s v="Payment"/>
    <s v="Card"/>
    <s v="Android"/>
    <s v="Mumbai"/>
    <n v="38"/>
    <x v="3"/>
    <n v="2"/>
    <n v="27227.18"/>
    <n v="0"/>
    <n v="0.17399999999999999"/>
    <n v="3"/>
    <x v="1"/>
  </r>
  <r>
    <s v="T460"/>
    <s v="U7611"/>
    <n v="5984.95"/>
    <s v="Payment"/>
    <s v="Card"/>
    <s v="Android"/>
    <s v="Mumbai"/>
    <n v="1014"/>
    <x v="9"/>
    <n v="1"/>
    <n v="6414"/>
    <n v="0"/>
    <n v="0.92700000000000005"/>
    <n v="5"/>
    <x v="1"/>
  </r>
  <r>
    <s v="T461"/>
    <s v="U1269"/>
    <n v="5920.44"/>
    <s v="Withdrawal"/>
    <s v="UPI"/>
    <s v="iOS"/>
    <s v="Chennai"/>
    <n v="1391"/>
    <x v="5"/>
    <n v="3"/>
    <n v="18692.77"/>
    <n v="0"/>
    <n v="0.41099999999999998"/>
    <n v="8"/>
    <x v="1"/>
  </r>
  <r>
    <s v="T462"/>
    <s v="U8229"/>
    <n v="32478.05"/>
    <s v="Transfer"/>
    <s v="NetBanking"/>
    <s v="Web"/>
    <s v="Chennai"/>
    <n v="659"/>
    <x v="17"/>
    <n v="4"/>
    <n v="15049.17"/>
    <n v="0"/>
    <n v="0.26200000000000001"/>
    <n v="9"/>
    <x v="1"/>
  </r>
  <r>
    <s v="T463"/>
    <s v="U7692"/>
    <n v="37314.94"/>
    <s v="Transfer"/>
    <s v="Card"/>
    <s v="iOS"/>
    <s v="Chennai"/>
    <n v="1190"/>
    <x v="11"/>
    <n v="0"/>
    <n v="12738.43"/>
    <n v="0"/>
    <n v="0.246"/>
    <n v="2"/>
    <x v="1"/>
  </r>
  <r>
    <s v="T464"/>
    <s v="U4315"/>
    <n v="29189.27"/>
    <s v="Withdrawal"/>
    <s v="NetBanking"/>
    <s v="Web"/>
    <s v="Hyderabad"/>
    <n v="40"/>
    <x v="0"/>
    <n v="3"/>
    <n v="9812.57"/>
    <n v="0"/>
    <n v="0.58599999999999997"/>
    <n v="8"/>
    <x v="1"/>
  </r>
  <r>
    <s v="T465"/>
    <s v="U7117"/>
    <n v="48110.52"/>
    <s v="Withdrawal"/>
    <s v="UPI"/>
    <s v="Android"/>
    <s v="Delhi"/>
    <n v="852"/>
    <x v="17"/>
    <n v="1"/>
    <n v="26002.959999999999"/>
    <n v="1"/>
    <n v="0.97799999999999998"/>
    <n v="3"/>
    <x v="1"/>
  </r>
  <r>
    <s v="T466"/>
    <s v="U4971"/>
    <n v="18774.79"/>
    <s v="Transfer"/>
    <s v="UPI"/>
    <s v="Web"/>
    <s v="Hyderabad"/>
    <n v="1319"/>
    <x v="9"/>
    <n v="0"/>
    <n v="14586.71"/>
    <n v="0"/>
    <n v="0.97399999999999998"/>
    <n v="9"/>
    <x v="1"/>
  </r>
  <r>
    <s v="T467"/>
    <s v="U7669"/>
    <n v="14321.32"/>
    <s v="Payment"/>
    <s v="NetBanking"/>
    <s v="iOS"/>
    <s v="Chennai"/>
    <n v="1698"/>
    <x v="18"/>
    <n v="4"/>
    <n v="21748.6"/>
    <n v="1"/>
    <n v="0.98199999999999998"/>
    <n v="5"/>
    <x v="2"/>
  </r>
  <r>
    <s v="T468"/>
    <s v="U7432"/>
    <n v="43436.53"/>
    <s v="Withdrawal"/>
    <s v="Wallet"/>
    <s v="Web"/>
    <s v="Bangalore"/>
    <n v="345"/>
    <x v="22"/>
    <n v="0"/>
    <n v="21207.91"/>
    <n v="0"/>
    <n v="0.38700000000000001"/>
    <n v="5"/>
    <x v="1"/>
  </r>
  <r>
    <s v="T469"/>
    <s v="U7626"/>
    <n v="11218.61"/>
    <s v="Payment"/>
    <s v="UPI"/>
    <s v="Android"/>
    <s v="Delhi"/>
    <n v="579"/>
    <x v="12"/>
    <n v="3"/>
    <n v="4168.53"/>
    <n v="0"/>
    <n v="0.91400000000000003"/>
    <n v="4"/>
    <x v="2"/>
  </r>
  <r>
    <s v="T470"/>
    <s v="U1368"/>
    <n v="48162.97"/>
    <s v="Withdrawal"/>
    <s v="UPI"/>
    <s v="Android"/>
    <s v="Mumbai"/>
    <n v="322"/>
    <x v="21"/>
    <n v="4"/>
    <n v="1563.18"/>
    <n v="0"/>
    <n v="0.44400000000000001"/>
    <n v="8"/>
    <x v="1"/>
  </r>
  <r>
    <s v="T471"/>
    <s v="U7366"/>
    <n v="657.12"/>
    <s v="Transfer"/>
    <s v="UPI"/>
    <s v="Web"/>
    <s v="Hyderabad"/>
    <n v="608"/>
    <x v="21"/>
    <n v="1"/>
    <n v="25214.9"/>
    <n v="0"/>
    <n v="0.51100000000000001"/>
    <n v="1"/>
    <x v="1"/>
  </r>
  <r>
    <s v="T472"/>
    <s v="U5220"/>
    <n v="48495.45"/>
    <s v="Payment"/>
    <s v="UPI"/>
    <s v="Android"/>
    <s v="Delhi"/>
    <n v="1156"/>
    <x v="9"/>
    <n v="0"/>
    <n v="14760.57"/>
    <n v="0"/>
    <n v="0.52"/>
    <n v="6"/>
    <x v="1"/>
  </r>
  <r>
    <s v="T473"/>
    <s v="U9577"/>
    <n v="2205.84"/>
    <s v="Payment"/>
    <s v="NetBanking"/>
    <s v="Android"/>
    <s v="Bangalore"/>
    <n v="1736"/>
    <x v="23"/>
    <n v="3"/>
    <n v="24321.56"/>
    <n v="0"/>
    <n v="6.4000000000000001E-2"/>
    <n v="7"/>
    <x v="1"/>
  </r>
  <r>
    <s v="T474"/>
    <s v="U2889"/>
    <n v="44562.6"/>
    <s v="Withdrawal"/>
    <s v="NetBanking"/>
    <s v="Web"/>
    <s v="Delhi"/>
    <n v="874"/>
    <x v="20"/>
    <n v="1"/>
    <n v="8982.25"/>
    <n v="0"/>
    <n v="0.17699999999999999"/>
    <n v="8"/>
    <x v="1"/>
  </r>
  <r>
    <s v="T475"/>
    <s v="U6117"/>
    <n v="26408.67"/>
    <s v="Payment"/>
    <s v="NetBanking"/>
    <s v="Android"/>
    <s v="Hyderabad"/>
    <n v="380"/>
    <x v="12"/>
    <n v="4"/>
    <n v="25868.78"/>
    <n v="0"/>
    <n v="0.88600000000000001"/>
    <n v="4"/>
    <x v="1"/>
  </r>
  <r>
    <s v="T476"/>
    <s v="U9760"/>
    <n v="49648.59"/>
    <s v="Withdrawal"/>
    <s v="NetBanking"/>
    <s v="Web"/>
    <s v="Chennai"/>
    <n v="814"/>
    <x v="2"/>
    <n v="0"/>
    <n v="24941.53"/>
    <n v="0"/>
    <n v="0.89600000000000002"/>
    <n v="9"/>
    <x v="1"/>
  </r>
  <r>
    <s v="T477"/>
    <s v="U5681"/>
    <n v="3736.14"/>
    <s v="Transfer"/>
    <s v="Wallet"/>
    <s v="Web"/>
    <s v="Mumbai"/>
    <n v="323"/>
    <x v="3"/>
    <n v="2"/>
    <n v="11511.98"/>
    <n v="0"/>
    <n v="0.20200000000000001"/>
    <n v="3"/>
    <x v="1"/>
  </r>
  <r>
    <s v="T478"/>
    <s v="U5591"/>
    <n v="27715.02"/>
    <s v="Payment"/>
    <s v="NetBanking"/>
    <s v="Android"/>
    <s v="Chennai"/>
    <n v="37"/>
    <x v="20"/>
    <n v="3"/>
    <n v="12409.77"/>
    <n v="0"/>
    <n v="0.30299999999999999"/>
    <n v="8"/>
    <x v="1"/>
  </r>
  <r>
    <s v="T479"/>
    <s v="U6363"/>
    <n v="48466.66"/>
    <s v="Withdrawal"/>
    <s v="NetBanking"/>
    <s v="Web"/>
    <s v="Chennai"/>
    <n v="1188"/>
    <x v="6"/>
    <n v="3"/>
    <n v="10591.68"/>
    <n v="0"/>
    <n v="0.83"/>
    <n v="5"/>
    <x v="1"/>
  </r>
  <r>
    <s v="T480"/>
    <s v="U4629"/>
    <n v="26178.74"/>
    <s v="Payment"/>
    <s v="UPI"/>
    <s v="Android"/>
    <s v="Hyderabad"/>
    <n v="975"/>
    <x v="10"/>
    <n v="2"/>
    <n v="1141.19"/>
    <n v="1"/>
    <n v="0.20399999999999999"/>
    <n v="5"/>
    <x v="1"/>
  </r>
  <r>
    <s v="T481"/>
    <s v="U3447"/>
    <n v="31488.46"/>
    <s v="Withdrawal"/>
    <s v="Wallet"/>
    <s v="Android"/>
    <s v="Chennai"/>
    <n v="1263"/>
    <x v="11"/>
    <n v="1"/>
    <n v="20661.05"/>
    <n v="0"/>
    <n v="0.88100000000000001"/>
    <n v="7"/>
    <x v="1"/>
  </r>
  <r>
    <s v="T482"/>
    <s v="U2016"/>
    <n v="34802.65"/>
    <s v="Withdrawal"/>
    <s v="UPI"/>
    <s v="Android"/>
    <s v="Chennai"/>
    <n v="1582"/>
    <x v="20"/>
    <n v="3"/>
    <n v="8254.7000000000007"/>
    <n v="1"/>
    <n v="0.82299999999999995"/>
    <n v="5"/>
    <x v="1"/>
  </r>
  <r>
    <s v="T483"/>
    <s v="U4511"/>
    <n v="22754.33"/>
    <s v="Withdrawal"/>
    <s v="Wallet"/>
    <s v="iOS"/>
    <s v="Hyderabad"/>
    <n v="1039"/>
    <x v="21"/>
    <n v="1"/>
    <n v="26532.01"/>
    <n v="0"/>
    <n v="0.80800000000000005"/>
    <n v="7"/>
    <x v="1"/>
  </r>
  <r>
    <s v="T484"/>
    <s v="U2010"/>
    <n v="31396.53"/>
    <s v="Transfer"/>
    <s v="Card"/>
    <s v="Android"/>
    <s v="Hyderabad"/>
    <n v="482"/>
    <x v="22"/>
    <n v="4"/>
    <n v="26931.58"/>
    <n v="0"/>
    <n v="0.89200000000000002"/>
    <n v="9"/>
    <x v="1"/>
  </r>
  <r>
    <s v="T485"/>
    <s v="U5093"/>
    <n v="29236.5"/>
    <s v="Payment"/>
    <s v="Wallet"/>
    <s v="Web"/>
    <s v="Bangalore"/>
    <n v="1351"/>
    <x v="21"/>
    <n v="2"/>
    <n v="21705.119999999999"/>
    <n v="0"/>
    <n v="0.88700000000000001"/>
    <n v="5"/>
    <x v="1"/>
  </r>
  <r>
    <s v="T486"/>
    <s v="U7483"/>
    <n v="45062.84"/>
    <s v="Transfer"/>
    <s v="Wallet"/>
    <s v="Web"/>
    <s v="Chennai"/>
    <n v="1258"/>
    <x v="8"/>
    <n v="1"/>
    <n v="5528.76"/>
    <n v="0"/>
    <n v="0.91700000000000004"/>
    <n v="2"/>
    <x v="1"/>
  </r>
  <r>
    <s v="T487"/>
    <s v="U9060"/>
    <n v="2320.0500000000002"/>
    <s v="Withdrawal"/>
    <s v="UPI"/>
    <s v="Web"/>
    <s v="Delhi"/>
    <n v="1066"/>
    <x v="17"/>
    <n v="4"/>
    <n v="2769.85"/>
    <n v="1"/>
    <n v="0.88"/>
    <n v="6"/>
    <x v="1"/>
  </r>
  <r>
    <s v="T488"/>
    <s v="U4406"/>
    <n v="14084.11"/>
    <s v="Withdrawal"/>
    <s v="Wallet"/>
    <s v="iOS"/>
    <s v="Mumbai"/>
    <n v="98"/>
    <x v="7"/>
    <n v="0"/>
    <n v="24511.75"/>
    <n v="0"/>
    <n v="0.60699999999999998"/>
    <n v="9"/>
    <x v="1"/>
  </r>
  <r>
    <s v="T489"/>
    <s v="U8244"/>
    <n v="47523.05"/>
    <s v="Transfer"/>
    <s v="Wallet"/>
    <s v="iOS"/>
    <s v="Mumbai"/>
    <n v="1367"/>
    <x v="7"/>
    <n v="3"/>
    <n v="26802.68"/>
    <n v="0"/>
    <n v="0.158"/>
    <n v="9"/>
    <x v="1"/>
  </r>
  <r>
    <s v="T490"/>
    <s v="U8966"/>
    <n v="44518.68"/>
    <s v="Transfer"/>
    <s v="UPI"/>
    <s v="Web"/>
    <s v="Hyderabad"/>
    <n v="49"/>
    <x v="21"/>
    <n v="2"/>
    <n v="10625.97"/>
    <n v="1"/>
    <n v="0.60899999999999999"/>
    <n v="5"/>
    <x v="1"/>
  </r>
  <r>
    <s v="T491"/>
    <s v="U6497"/>
    <n v="22810.05"/>
    <s v="Payment"/>
    <s v="Card"/>
    <s v="Web"/>
    <s v="Hyderabad"/>
    <n v="690"/>
    <x v="23"/>
    <n v="0"/>
    <n v="10653.38"/>
    <n v="0"/>
    <n v="0.94199999999999995"/>
    <n v="2"/>
    <x v="1"/>
  </r>
  <r>
    <s v="T492"/>
    <s v="U7340"/>
    <n v="31025.62"/>
    <s v="Withdrawal"/>
    <s v="Card"/>
    <s v="iOS"/>
    <s v="Bangalore"/>
    <n v="384"/>
    <x v="6"/>
    <n v="0"/>
    <n v="11769.25"/>
    <n v="1"/>
    <n v="0.96799999999999997"/>
    <n v="6"/>
    <x v="1"/>
  </r>
  <r>
    <s v="T493"/>
    <s v="U5736"/>
    <n v="13905.19"/>
    <s v="Transfer"/>
    <s v="Card"/>
    <s v="Web"/>
    <s v="Chennai"/>
    <n v="1331"/>
    <x v="17"/>
    <n v="0"/>
    <n v="24845.91"/>
    <n v="0"/>
    <n v="0.72799999999999998"/>
    <n v="4"/>
    <x v="1"/>
  </r>
  <r>
    <s v="T494"/>
    <s v="U8883"/>
    <n v="9446.65"/>
    <s v="Withdrawal"/>
    <s v="Wallet"/>
    <s v="Android"/>
    <s v="Hyderabad"/>
    <n v="1007"/>
    <x v="21"/>
    <n v="1"/>
    <n v="21241.45"/>
    <n v="0"/>
    <n v="0.69399999999999995"/>
    <n v="4"/>
    <x v="1"/>
  </r>
  <r>
    <s v="T495"/>
    <s v="U1343"/>
    <n v="23211.74"/>
    <s v="Withdrawal"/>
    <s v="UPI"/>
    <s v="Android"/>
    <s v="Hyderabad"/>
    <n v="402"/>
    <x v="0"/>
    <n v="3"/>
    <n v="3747.09"/>
    <n v="0"/>
    <n v="0.93799999999999994"/>
    <n v="3"/>
    <x v="2"/>
  </r>
  <r>
    <s v="T496"/>
    <s v="U5782"/>
    <n v="17699.939999999999"/>
    <s v="Payment"/>
    <s v="Card"/>
    <s v="Web"/>
    <s v="Mumbai"/>
    <n v="1051"/>
    <x v="5"/>
    <n v="2"/>
    <n v="19077.25"/>
    <n v="0"/>
    <n v="0.29099999999999998"/>
    <n v="1"/>
    <x v="1"/>
  </r>
  <r>
    <s v="T497"/>
    <s v="U9357"/>
    <n v="29203.62"/>
    <s v="Payment"/>
    <s v="Card"/>
    <s v="Android"/>
    <s v="Chennai"/>
    <n v="1560"/>
    <x v="18"/>
    <n v="3"/>
    <n v="392.35"/>
    <n v="0"/>
    <n v="0.151"/>
    <n v="9"/>
    <x v="2"/>
  </r>
  <r>
    <s v="T498"/>
    <s v="U7525"/>
    <n v="3932.85"/>
    <s v="Payment"/>
    <s v="Card"/>
    <s v="Web"/>
    <s v="Bangalore"/>
    <n v="141"/>
    <x v="23"/>
    <n v="3"/>
    <n v="21340.55"/>
    <n v="0"/>
    <n v="0.28999999999999998"/>
    <n v="6"/>
    <x v="1"/>
  </r>
  <r>
    <s v="T499"/>
    <s v="U7816"/>
    <n v="48721.02"/>
    <s v="Transfer"/>
    <s v="Card"/>
    <s v="iOS"/>
    <s v="Hyderabad"/>
    <n v="299"/>
    <x v="1"/>
    <n v="3"/>
    <n v="22962.51"/>
    <n v="0"/>
    <n v="0.94899999999999995"/>
    <n v="3"/>
    <x v="1"/>
  </r>
  <r>
    <s v="T500"/>
    <s v="U1226"/>
    <n v="49311.23"/>
    <s v="Withdrawal"/>
    <s v="UPI"/>
    <s v="Web"/>
    <s v="Hyderabad"/>
    <n v="1863"/>
    <x v="20"/>
    <n v="4"/>
    <n v="24466.959999999999"/>
    <n v="0"/>
    <n v="0.21199999999999999"/>
    <n v="1"/>
    <x v="1"/>
  </r>
  <r>
    <s v="T501"/>
    <s v="U6928"/>
    <n v="34923.18"/>
    <s v="Transfer"/>
    <s v="Card"/>
    <s v="iOS"/>
    <s v="Hyderabad"/>
    <n v="815"/>
    <x v="18"/>
    <n v="4"/>
    <n v="18806.71"/>
    <n v="0"/>
    <n v="0.22500000000000001"/>
    <n v="6"/>
    <x v="1"/>
  </r>
  <r>
    <s v="T502"/>
    <s v="U5900"/>
    <n v="26828.01"/>
    <s v="Transfer"/>
    <s v="Wallet"/>
    <s v="Android"/>
    <s v="Mumbai"/>
    <n v="218"/>
    <x v="18"/>
    <n v="4"/>
    <n v="5499.58"/>
    <n v="0"/>
    <n v="0.193"/>
    <n v="4"/>
    <x v="1"/>
  </r>
  <r>
    <s v="T503"/>
    <s v="U6963"/>
    <n v="15510.9"/>
    <s v="Payment"/>
    <s v="Wallet"/>
    <s v="Android"/>
    <s v="Hyderabad"/>
    <n v="336"/>
    <x v="9"/>
    <n v="4"/>
    <n v="23833.03"/>
    <n v="0"/>
    <n v="0.48499999999999999"/>
    <n v="1"/>
    <x v="1"/>
  </r>
  <r>
    <s v="T504"/>
    <s v="U7095"/>
    <n v="40699.06"/>
    <s v="Withdrawal"/>
    <s v="UPI"/>
    <s v="Android"/>
    <s v="Hyderabad"/>
    <n v="1001"/>
    <x v="15"/>
    <n v="3"/>
    <n v="27003.74"/>
    <n v="0"/>
    <n v="0.79600000000000004"/>
    <n v="4"/>
    <x v="1"/>
  </r>
  <r>
    <s v="T505"/>
    <s v="U3789"/>
    <n v="34252.32"/>
    <s v="Withdrawal"/>
    <s v="NetBanking"/>
    <s v="Web"/>
    <s v="Mumbai"/>
    <n v="512"/>
    <x v="23"/>
    <n v="3"/>
    <n v="19050.5"/>
    <n v="0"/>
    <n v="0.38200000000000001"/>
    <n v="2"/>
    <x v="2"/>
  </r>
  <r>
    <s v="T506"/>
    <s v="U2679"/>
    <n v="8172.72"/>
    <s v="Payment"/>
    <s v="Card"/>
    <s v="iOS"/>
    <s v="Hyderabad"/>
    <n v="288"/>
    <x v="14"/>
    <n v="2"/>
    <n v="8326.02"/>
    <n v="0"/>
    <n v="0.1"/>
    <n v="3"/>
    <x v="1"/>
  </r>
  <r>
    <s v="T507"/>
    <s v="U8746"/>
    <n v="45550.81"/>
    <s v="Withdrawal"/>
    <s v="Card"/>
    <s v="iOS"/>
    <s v="Chennai"/>
    <n v="1415"/>
    <x v="22"/>
    <n v="2"/>
    <n v="5462.89"/>
    <n v="0"/>
    <n v="0.74"/>
    <n v="7"/>
    <x v="1"/>
  </r>
  <r>
    <s v="T508"/>
    <s v="U2116"/>
    <n v="41135.74"/>
    <s v="Payment"/>
    <s v="Wallet"/>
    <s v="Android"/>
    <s v="Chennai"/>
    <n v="797"/>
    <x v="3"/>
    <n v="2"/>
    <n v="7020.74"/>
    <n v="0"/>
    <n v="0.61"/>
    <n v="7"/>
    <x v="1"/>
  </r>
  <r>
    <s v="T509"/>
    <s v="U1917"/>
    <n v="47492.51"/>
    <s v="Transfer"/>
    <s v="UPI"/>
    <s v="Android"/>
    <s v="Mumbai"/>
    <n v="1016"/>
    <x v="9"/>
    <n v="2"/>
    <n v="605.44000000000005"/>
    <n v="0"/>
    <n v="0.47899999999999998"/>
    <n v="5"/>
    <x v="1"/>
  </r>
  <r>
    <s v="T510"/>
    <s v="U9829"/>
    <n v="36299.69"/>
    <s v="Transfer"/>
    <s v="NetBanking"/>
    <s v="iOS"/>
    <s v="Chennai"/>
    <n v="961"/>
    <x v="18"/>
    <n v="2"/>
    <n v="404.04"/>
    <n v="0"/>
    <n v="0.96399999999999997"/>
    <n v="2"/>
    <x v="1"/>
  </r>
  <r>
    <s v="T511"/>
    <s v="U3842"/>
    <n v="30690.09"/>
    <s v="Payment"/>
    <s v="Wallet"/>
    <s v="Web"/>
    <s v="Bangalore"/>
    <n v="1342"/>
    <x v="4"/>
    <n v="4"/>
    <n v="8981.4500000000007"/>
    <n v="0"/>
    <n v="0.47"/>
    <n v="9"/>
    <x v="1"/>
  </r>
  <r>
    <s v="T512"/>
    <s v="U5680"/>
    <n v="20941.240000000002"/>
    <s v="Transfer"/>
    <s v="NetBanking"/>
    <s v="Android"/>
    <s v="Hyderabad"/>
    <n v="1931"/>
    <x v="1"/>
    <n v="3"/>
    <n v="27696.5"/>
    <n v="0"/>
    <n v="0.73299999999999998"/>
    <n v="9"/>
    <x v="1"/>
  </r>
  <r>
    <s v="T513"/>
    <s v="U5783"/>
    <n v="46639.79"/>
    <s v="Transfer"/>
    <s v="UPI"/>
    <s v="Web"/>
    <s v="Bangalore"/>
    <n v="286"/>
    <x v="5"/>
    <n v="2"/>
    <n v="18677.689999999999"/>
    <n v="0"/>
    <n v="0.159"/>
    <n v="9"/>
    <x v="1"/>
  </r>
  <r>
    <s v="T514"/>
    <s v="U2496"/>
    <n v="43309.89"/>
    <s v="Payment"/>
    <s v="UPI"/>
    <s v="Android"/>
    <s v="Chennai"/>
    <n v="1109"/>
    <x v="2"/>
    <n v="1"/>
    <n v="11644.6"/>
    <n v="0"/>
    <n v="0.41699999999999998"/>
    <n v="6"/>
    <x v="1"/>
  </r>
  <r>
    <s v="T515"/>
    <s v="U7162"/>
    <n v="2308.67"/>
    <s v="Transfer"/>
    <s v="UPI"/>
    <s v="Android"/>
    <s v="Mumbai"/>
    <n v="307"/>
    <x v="14"/>
    <n v="2"/>
    <n v="424.34"/>
    <n v="0"/>
    <n v="0.21199999999999999"/>
    <n v="1"/>
    <x v="1"/>
  </r>
  <r>
    <s v="T516"/>
    <s v="U8722"/>
    <n v="1367.03"/>
    <s v="Withdrawal"/>
    <s v="Wallet"/>
    <s v="Web"/>
    <s v="Mumbai"/>
    <n v="1858"/>
    <x v="10"/>
    <n v="2"/>
    <n v="29692.03"/>
    <n v="0"/>
    <n v="0.34799999999999998"/>
    <n v="6"/>
    <x v="1"/>
  </r>
  <r>
    <s v="T517"/>
    <s v="U1718"/>
    <n v="18854.349999999999"/>
    <s v="Transfer"/>
    <s v="UPI"/>
    <s v="Web"/>
    <s v="Bangalore"/>
    <n v="1411"/>
    <x v="20"/>
    <n v="3"/>
    <n v="13729.75"/>
    <n v="0"/>
    <n v="0.48"/>
    <n v="8"/>
    <x v="1"/>
  </r>
  <r>
    <s v="T522"/>
    <s v="U3648"/>
    <n v="19075.5"/>
    <s v="Withdrawal"/>
    <s v="Wallet"/>
    <s v="Android"/>
    <s v="Mumbai"/>
    <n v="1811"/>
    <x v="1"/>
    <n v="1"/>
    <n v="15958.94"/>
    <n v="0"/>
    <n v="0.67500000000000004"/>
    <n v="4"/>
    <x v="2"/>
  </r>
  <r>
    <s v="T532"/>
    <s v="U1162"/>
    <n v="49985.9"/>
    <s v="Payment"/>
    <s v="UPI"/>
    <s v="iOS"/>
    <s v="Bangalore"/>
    <n v="1480"/>
    <x v="22"/>
    <n v="1"/>
    <n v="3130.59"/>
    <n v="1"/>
    <n v="0.42499999999999999"/>
    <n v="6"/>
    <x v="2"/>
  </r>
  <r>
    <s v="T653"/>
    <s v="U9630"/>
    <n v="29362.71"/>
    <s v="Withdrawal"/>
    <s v="Wallet"/>
    <s v="Web"/>
    <s v="Chennai"/>
    <n v="33"/>
    <x v="9"/>
    <n v="3"/>
    <n v="431.1"/>
    <n v="0"/>
    <n v="0.88500000000000001"/>
    <n v="3"/>
    <x v="2"/>
  </r>
  <r>
    <s v="T677"/>
    <s v="U4582"/>
    <n v="5646.34"/>
    <s v="Withdrawal"/>
    <s v="NetBanking"/>
    <s v="Android"/>
    <s v="Bangalore"/>
    <n v="1382"/>
    <x v="5"/>
    <n v="2"/>
    <n v="1900.52"/>
    <n v="0"/>
    <n v="0.18"/>
    <n v="6"/>
    <x v="2"/>
  </r>
  <r>
    <s v="T679"/>
    <s v="U7573"/>
    <n v="48475.05"/>
    <s v="Transfer"/>
    <s v="UPI"/>
    <s v="iOS"/>
    <s v="Chennai"/>
    <n v="964"/>
    <x v="10"/>
    <n v="1"/>
    <n v="1663.43"/>
    <n v="0"/>
    <n v="4.0000000000000001E-3"/>
    <n v="9"/>
    <x v="2"/>
  </r>
  <r>
    <s v="T691"/>
    <s v="U8515"/>
    <n v="16217.78"/>
    <s v="Withdrawal"/>
    <s v="UPI"/>
    <s v="iOS"/>
    <s v="Hyderabad"/>
    <n v="162"/>
    <x v="11"/>
    <n v="1"/>
    <n v="20878.28"/>
    <n v="0"/>
    <n v="0.41599999999999998"/>
    <n v="5"/>
    <x v="2"/>
  </r>
  <r>
    <s v="T704"/>
    <s v="U4427"/>
    <n v="6764.01"/>
    <s v="Transfer"/>
    <s v="Card"/>
    <s v="Android"/>
    <s v="Chennai"/>
    <n v="348"/>
    <x v="17"/>
    <n v="3"/>
    <n v="6550.99"/>
    <n v="0"/>
    <n v="0.76700000000000002"/>
    <n v="5"/>
    <x v="2"/>
  </r>
  <r>
    <s v="T710"/>
    <s v="U3661"/>
    <n v="34091.06"/>
    <s v="Withdrawal"/>
    <s v="UPI"/>
    <s v="Web"/>
    <s v="Chennai"/>
    <n v="1573"/>
    <x v="13"/>
    <n v="3"/>
    <n v="4069.07"/>
    <n v="0"/>
    <n v="0.56699999999999995"/>
    <n v="5"/>
    <x v="2"/>
  </r>
  <r>
    <s v="T711"/>
    <s v="U9918"/>
    <n v="38023.379999999997"/>
    <s v="Transfer"/>
    <s v="Wallet"/>
    <s v="Web"/>
    <s v="Bangalore"/>
    <n v="758"/>
    <x v="12"/>
    <n v="2"/>
    <n v="9077.35"/>
    <n v="0"/>
    <n v="0.51700000000000002"/>
    <n v="9"/>
    <x v="2"/>
  </r>
  <r>
    <s v="T719"/>
    <s v="U9408"/>
    <n v="6258.65"/>
    <s v="Withdrawal"/>
    <s v="UPI"/>
    <s v="Android"/>
    <s v="Bangalore"/>
    <n v="1235"/>
    <x v="0"/>
    <n v="1"/>
    <n v="20019.21"/>
    <n v="0"/>
    <n v="8.8999999999999996E-2"/>
    <n v="7"/>
    <x v="2"/>
  </r>
  <r>
    <s v="T720"/>
    <s v="U8701"/>
    <n v="36556.83"/>
    <s v="Payment"/>
    <s v="Wallet"/>
    <s v="iOS"/>
    <s v="Bangalore"/>
    <n v="1073"/>
    <x v="9"/>
    <n v="2"/>
    <n v="25674.97"/>
    <n v="0"/>
    <n v="0.93899999999999995"/>
    <n v="9"/>
    <x v="2"/>
  </r>
  <r>
    <s v="T741"/>
    <s v="U2006"/>
    <n v="23160.86"/>
    <s v="Payment"/>
    <s v="Wallet"/>
    <s v="iOS"/>
    <s v="Delhi"/>
    <n v="1321"/>
    <x v="19"/>
    <n v="2"/>
    <n v="22375.07"/>
    <n v="0"/>
    <n v="0.52"/>
    <n v="7"/>
    <x v="2"/>
  </r>
  <r>
    <s v="T762"/>
    <s v="U8272"/>
    <n v="15620.52"/>
    <s v="Transfer"/>
    <s v="NetBanking"/>
    <s v="Web"/>
    <s v="Chennai"/>
    <n v="1608"/>
    <x v="3"/>
    <n v="0"/>
    <n v="25687.3"/>
    <n v="0"/>
    <n v="0.26100000000000001"/>
    <n v="3"/>
    <x v="2"/>
  </r>
  <r>
    <s v="T791"/>
    <s v="U8951"/>
    <n v="7709.9"/>
    <s v="Withdrawal"/>
    <s v="UPI"/>
    <s v="iOS"/>
    <s v="Hyderabad"/>
    <n v="1624"/>
    <x v="6"/>
    <n v="4"/>
    <n v="6632.71"/>
    <n v="0"/>
    <n v="2.8000000000000001E-2"/>
    <n v="6"/>
    <x v="2"/>
  </r>
  <r>
    <s v="T806"/>
    <s v="U9882"/>
    <n v="36835.39"/>
    <s v="Transfer"/>
    <s v="UPI"/>
    <s v="Android"/>
    <s v="Mumbai"/>
    <n v="631"/>
    <x v="21"/>
    <n v="0"/>
    <n v="14608.57"/>
    <n v="0"/>
    <n v="0.43"/>
    <n v="2"/>
    <x v="2"/>
  </r>
  <r>
    <s v="T811"/>
    <s v="U2525"/>
    <n v="49242.82"/>
    <s v="Payment"/>
    <s v="NetBanking"/>
    <s v="Web"/>
    <s v="Delhi"/>
    <n v="853"/>
    <x v="5"/>
    <n v="4"/>
    <n v="2849.29"/>
    <n v="0"/>
    <n v="0.40200000000000002"/>
    <n v="2"/>
    <x v="2"/>
  </r>
  <r>
    <s v="T831"/>
    <s v="U4106"/>
    <n v="11269.01"/>
    <s v="Withdrawal"/>
    <s v="UPI"/>
    <s v="Web"/>
    <s v="Bangalore"/>
    <n v="1060"/>
    <x v="6"/>
    <n v="1"/>
    <n v="20666.240000000002"/>
    <n v="0"/>
    <n v="0.17199999999999999"/>
    <n v="7"/>
    <x v="2"/>
  </r>
  <r>
    <s v="T844"/>
    <s v="U6398"/>
    <n v="48055.46"/>
    <s v="Withdrawal"/>
    <s v="Wallet"/>
    <s v="Web"/>
    <s v="Bangalore"/>
    <n v="1843"/>
    <x v="15"/>
    <n v="4"/>
    <n v="8378.9599999999991"/>
    <n v="0"/>
    <n v="9.5000000000000001E-2"/>
    <n v="9"/>
    <x v="2"/>
  </r>
  <r>
    <s v="T848"/>
    <s v="U1270"/>
    <n v="49843.87"/>
    <s v="Transfer"/>
    <s v="Card"/>
    <s v="Android"/>
    <s v="Chennai"/>
    <n v="1577"/>
    <x v="20"/>
    <n v="3"/>
    <n v="19610.61"/>
    <n v="0"/>
    <n v="4.3999999999999997E-2"/>
    <n v="9"/>
    <x v="2"/>
  </r>
  <r>
    <s v="T859"/>
    <s v="U6418"/>
    <n v="28263.81"/>
    <s v="Withdrawal"/>
    <s v="UPI"/>
    <s v="iOS"/>
    <s v="Mumbai"/>
    <n v="380"/>
    <x v="12"/>
    <n v="3"/>
    <n v="28903.69"/>
    <n v="0"/>
    <n v="0.32800000000000001"/>
    <n v="4"/>
    <x v="2"/>
  </r>
  <r>
    <s v="T877"/>
    <s v="U1192"/>
    <n v="35812.81"/>
    <s v="Withdrawal"/>
    <s v="Wallet"/>
    <s v="Android"/>
    <s v="Mumbai"/>
    <n v="1376"/>
    <x v="4"/>
    <n v="3"/>
    <n v="22761.19"/>
    <n v="0"/>
    <n v="0.33500000000000002"/>
    <n v="5"/>
    <x v="2"/>
  </r>
  <r>
    <s v="T882"/>
    <s v="U4392"/>
    <n v="33611.040000000001"/>
    <s v="Payment"/>
    <s v="UPI"/>
    <s v="Web"/>
    <s v="Mumbai"/>
    <n v="1074"/>
    <x v="11"/>
    <n v="2"/>
    <n v="14431.08"/>
    <n v="0"/>
    <n v="0.48099999999999998"/>
    <n v="2"/>
    <x v="2"/>
  </r>
  <r>
    <s v="T935"/>
    <s v="U9919"/>
    <n v="8625.3799999999992"/>
    <s v="Withdrawal"/>
    <s v="UPI"/>
    <s v="iOS"/>
    <s v="Hyderabad"/>
    <n v="1877"/>
    <x v="2"/>
    <n v="4"/>
    <n v="10909.42"/>
    <n v="0"/>
    <n v="0.77600000000000002"/>
    <n v="3"/>
    <x v="2"/>
  </r>
  <r>
    <s v="T953"/>
    <s v="U1838"/>
    <n v="8809.7999999999993"/>
    <s v="Payment"/>
    <s v="NetBanking"/>
    <s v="Web"/>
    <s v="Bangalore"/>
    <n v="1563"/>
    <x v="5"/>
    <n v="1"/>
    <n v="25128.13"/>
    <n v="0"/>
    <n v="0.97799999999999998"/>
    <n v="7"/>
    <x v="2"/>
  </r>
  <r>
    <s v="T964"/>
    <s v="U7989"/>
    <n v="19495.32"/>
    <s v="Payment"/>
    <s v="NetBanking"/>
    <s v="iOS"/>
    <s v="Chennai"/>
    <n v="422"/>
    <x v="12"/>
    <n v="4"/>
    <n v="14537.78"/>
    <n v="0"/>
    <n v="0.253"/>
    <n v="6"/>
    <x v="2"/>
  </r>
  <r>
    <s v="T967"/>
    <s v="U5396"/>
    <n v="35966.339999999997"/>
    <s v="Payment"/>
    <s v="NetBanking"/>
    <s v="iOS"/>
    <s v="Mumbai"/>
    <n v="1700"/>
    <x v="16"/>
    <n v="4"/>
    <n v="27127.74"/>
    <n v="0"/>
    <n v="0.25600000000000001"/>
    <n v="9"/>
    <x v="2"/>
  </r>
  <r>
    <s v="T974"/>
    <s v="U3285"/>
    <n v="10786.27"/>
    <s v="Transfer"/>
    <s v="UPI"/>
    <s v="Android"/>
    <s v="Hyderabad"/>
    <n v="1294"/>
    <x v="16"/>
    <n v="4"/>
    <n v="6523.46"/>
    <n v="0"/>
    <n v="0.97599999999999998"/>
    <n v="9"/>
    <x v="2"/>
  </r>
  <r>
    <s v="T1015"/>
    <s v="U7347"/>
    <n v="35293.480000000003"/>
    <s v="Withdrawal"/>
    <s v="Wallet"/>
    <s v="Web"/>
    <s v="Mumbai"/>
    <n v="428"/>
    <x v="8"/>
    <n v="0"/>
    <n v="8611.39"/>
    <n v="0"/>
    <n v="0.88700000000000001"/>
    <n v="7"/>
    <x v="2"/>
  </r>
  <r>
    <s v="T1038"/>
    <s v="U4754"/>
    <n v="36252.1"/>
    <s v="Payment"/>
    <s v="Wallet"/>
    <s v="Android"/>
    <s v="Hyderabad"/>
    <n v="1784"/>
    <x v="7"/>
    <n v="4"/>
    <n v="29049.31"/>
    <n v="0"/>
    <n v="0.43"/>
    <n v="8"/>
    <x v="2"/>
  </r>
  <r>
    <s v="T1071"/>
    <s v="U4816"/>
    <n v="14850.59"/>
    <s v="Transfer"/>
    <s v="NetBanking"/>
    <s v="iOS"/>
    <s v="Bangalore"/>
    <n v="1750"/>
    <x v="10"/>
    <n v="2"/>
    <n v="28024.95"/>
    <n v="1"/>
    <n v="0.58599999999999997"/>
    <n v="3"/>
    <x v="2"/>
  </r>
  <r>
    <s v="T1089"/>
    <s v="U7181"/>
    <n v="49558.87"/>
    <s v="Withdrawal"/>
    <s v="UPI"/>
    <s v="Web"/>
    <s v="Delhi"/>
    <n v="1198"/>
    <x v="4"/>
    <n v="4"/>
    <n v="21084.48"/>
    <n v="0"/>
    <n v="0.92900000000000005"/>
    <n v="4"/>
    <x v="2"/>
  </r>
  <r>
    <s v="T1109"/>
    <s v="U8815"/>
    <n v="34816.230000000003"/>
    <s v="Transfer"/>
    <s v="Card"/>
    <s v="iOS"/>
    <s v="Bangalore"/>
    <n v="1481"/>
    <x v="19"/>
    <n v="2"/>
    <n v="24058.74"/>
    <n v="0"/>
    <n v="0.50800000000000001"/>
    <n v="8"/>
    <x v="2"/>
  </r>
  <r>
    <s v="T1115"/>
    <s v="U8541"/>
    <n v="29667.35"/>
    <s v="Payment"/>
    <s v="UPI"/>
    <s v="Android"/>
    <s v="Bangalore"/>
    <n v="1310"/>
    <x v="6"/>
    <n v="2"/>
    <n v="2372.84"/>
    <n v="0"/>
    <n v="0.01"/>
    <n v="8"/>
    <x v="2"/>
  </r>
  <r>
    <s v="T1117"/>
    <s v="U3314"/>
    <n v="4619.7700000000004"/>
    <s v="Payment"/>
    <s v="Card"/>
    <s v="iOS"/>
    <s v="Mumbai"/>
    <n v="1335"/>
    <x v="6"/>
    <n v="3"/>
    <n v="18605.89"/>
    <n v="0"/>
    <n v="0.57899999999999996"/>
    <n v="1"/>
    <x v="2"/>
  </r>
  <r>
    <s v="T1125"/>
    <s v="U1159"/>
    <n v="32779.339999999997"/>
    <s v="Transfer"/>
    <s v="Wallet"/>
    <s v="Android"/>
    <s v="Delhi"/>
    <n v="1790"/>
    <x v="4"/>
    <n v="4"/>
    <n v="8905.31"/>
    <n v="0"/>
    <n v="0.48499999999999999"/>
    <n v="7"/>
    <x v="2"/>
  </r>
  <r>
    <s v="T1150"/>
    <s v="U4858"/>
    <n v="43371.35"/>
    <s v="Withdrawal"/>
    <s v="Card"/>
    <s v="iOS"/>
    <s v="Hyderabad"/>
    <n v="964"/>
    <x v="20"/>
    <n v="1"/>
    <n v="13307.55"/>
    <n v="0"/>
    <n v="0.378"/>
    <n v="8"/>
    <x v="2"/>
  </r>
  <r>
    <s v="T1156"/>
    <s v="U1667"/>
    <n v="37648.199999999997"/>
    <s v="Transfer"/>
    <s v="Card"/>
    <s v="iOS"/>
    <s v="Hyderabad"/>
    <n v="879"/>
    <x v="13"/>
    <n v="3"/>
    <n v="14450.33"/>
    <n v="0"/>
    <n v="0.26300000000000001"/>
    <n v="9"/>
    <x v="2"/>
  </r>
  <r>
    <s v="T1169"/>
    <s v="U9413"/>
    <n v="368.97"/>
    <s v="Withdrawal"/>
    <s v="Card"/>
    <s v="Web"/>
    <s v="Delhi"/>
    <n v="780"/>
    <x v="8"/>
    <n v="3"/>
    <n v="10382.67"/>
    <n v="0"/>
    <n v="0.66400000000000003"/>
    <n v="6"/>
    <x v="2"/>
  </r>
  <r>
    <s v="T1199"/>
    <s v="U3879"/>
    <n v="37495.11"/>
    <s v="Transfer"/>
    <s v="Wallet"/>
    <s v="Android"/>
    <s v="Delhi"/>
    <n v="1263"/>
    <x v="14"/>
    <n v="3"/>
    <n v="4642.6499999999996"/>
    <n v="0"/>
    <n v="0.42899999999999999"/>
    <n v="2"/>
    <x v="2"/>
  </r>
  <r>
    <s v="T1211"/>
    <s v="U1418"/>
    <n v="21337.759999999998"/>
    <s v="Withdrawal"/>
    <s v="Card"/>
    <s v="iOS"/>
    <s v="Hyderabad"/>
    <n v="1956"/>
    <x v="23"/>
    <n v="2"/>
    <n v="3779.42"/>
    <n v="0"/>
    <n v="0.36899999999999999"/>
    <n v="2"/>
    <x v="2"/>
  </r>
  <r>
    <s v="T1217"/>
    <s v="U4576"/>
    <n v="4164.93"/>
    <s v="Payment"/>
    <s v="NetBanking"/>
    <s v="Android"/>
    <s v="Mumbai"/>
    <n v="734"/>
    <x v="11"/>
    <n v="3"/>
    <n v="25689.63"/>
    <n v="1"/>
    <n v="0.06"/>
    <n v="8"/>
    <x v="2"/>
  </r>
  <r>
    <s v="T1253"/>
    <s v="U2482"/>
    <n v="5909.54"/>
    <s v="Payment"/>
    <s v="Card"/>
    <s v="Android"/>
    <s v="Bangalore"/>
    <n v="714"/>
    <x v="17"/>
    <n v="3"/>
    <n v="18420.04"/>
    <n v="1"/>
    <n v="0.66400000000000003"/>
    <n v="5"/>
    <x v="2"/>
  </r>
  <r>
    <s v="T1273"/>
    <s v="U6375"/>
    <n v="39003.56"/>
    <s v="Transfer"/>
    <s v="UPI"/>
    <s v="iOS"/>
    <s v="Mumbai"/>
    <n v="98"/>
    <x v="22"/>
    <n v="0"/>
    <n v="13128.02"/>
    <n v="0"/>
    <n v="0.20599999999999999"/>
    <n v="5"/>
    <x v="2"/>
  </r>
  <r>
    <s v="T1292"/>
    <s v="U4435"/>
    <n v="6679.15"/>
    <s v="Transfer"/>
    <s v="NetBanking"/>
    <s v="iOS"/>
    <s v="Mumbai"/>
    <n v="810"/>
    <x v="2"/>
    <n v="4"/>
    <n v="29336.55"/>
    <n v="0"/>
    <n v="2.3E-2"/>
    <n v="8"/>
    <x v="2"/>
  </r>
  <r>
    <s v="T1300"/>
    <s v="U5495"/>
    <n v="35338.46"/>
    <s v="Payment"/>
    <s v="Wallet"/>
    <s v="Android"/>
    <s v="Delhi"/>
    <n v="1991"/>
    <x v="0"/>
    <n v="1"/>
    <n v="7652.7"/>
    <n v="0"/>
    <n v="0.46500000000000002"/>
    <n v="8"/>
    <x v="2"/>
  </r>
  <r>
    <s v="T1321"/>
    <s v="U9384"/>
    <n v="12392.81"/>
    <s v="Withdrawal"/>
    <s v="NetBanking"/>
    <s v="Web"/>
    <s v="Mumbai"/>
    <n v="345"/>
    <x v="13"/>
    <n v="2"/>
    <n v="23846.79"/>
    <n v="0"/>
    <n v="0.876"/>
    <n v="4"/>
    <x v="2"/>
  </r>
  <r>
    <s v="T1326"/>
    <s v="U2354"/>
    <n v="16877.939999999999"/>
    <s v="Withdrawal"/>
    <s v="Wallet"/>
    <s v="iOS"/>
    <s v="Delhi"/>
    <n v="128"/>
    <x v="14"/>
    <n v="0"/>
    <n v="9044.3700000000008"/>
    <n v="1"/>
    <n v="0.749"/>
    <n v="2"/>
    <x v="2"/>
  </r>
  <r>
    <s v="T1341"/>
    <s v="U1091"/>
    <n v="12921.26"/>
    <s v="Payment"/>
    <s v="UPI"/>
    <s v="Android"/>
    <s v="Hyderabad"/>
    <n v="46"/>
    <x v="11"/>
    <n v="1"/>
    <n v="27048.27"/>
    <n v="0"/>
    <n v="0.86199999999999999"/>
    <n v="4"/>
    <x v="2"/>
  </r>
  <r>
    <s v="T1391"/>
    <s v="U7238"/>
    <n v="11840.72"/>
    <s v="Withdrawal"/>
    <s v="Card"/>
    <s v="Web"/>
    <s v="Mumbai"/>
    <n v="1526"/>
    <x v="20"/>
    <n v="0"/>
    <n v="28593.58"/>
    <n v="0"/>
    <n v="0.254"/>
    <n v="3"/>
    <x v="2"/>
  </r>
  <r>
    <s v="T1420"/>
    <s v="U3589"/>
    <n v="46697.06"/>
    <s v="Payment"/>
    <s v="UPI"/>
    <s v="iOS"/>
    <s v="Chennai"/>
    <n v="1785"/>
    <x v="21"/>
    <n v="2"/>
    <n v="8775.86"/>
    <n v="0"/>
    <n v="0.27200000000000002"/>
    <n v="6"/>
    <x v="2"/>
  </r>
  <r>
    <s v="T1438"/>
    <s v="U7124"/>
    <n v="35248.800000000003"/>
    <s v="Payment"/>
    <s v="Card"/>
    <s v="Android"/>
    <s v="Hyderabad"/>
    <n v="169"/>
    <x v="14"/>
    <n v="0"/>
    <n v="9161.4500000000007"/>
    <n v="0"/>
    <n v="0.13900000000000001"/>
    <n v="3"/>
    <x v="2"/>
  </r>
  <r>
    <s v="T1444"/>
    <s v="U2074"/>
    <n v="22215.32"/>
    <s v="Transfer"/>
    <s v="Wallet"/>
    <s v="iOS"/>
    <s v="Chennai"/>
    <n v="488"/>
    <x v="1"/>
    <n v="1"/>
    <n v="24969.86"/>
    <n v="0"/>
    <n v="0.17100000000000001"/>
    <n v="8"/>
    <x v="2"/>
  </r>
  <r>
    <s v="T1447"/>
    <s v="U2861"/>
    <n v="34646.67"/>
    <s v="Withdrawal"/>
    <s v="NetBanking"/>
    <s v="Web"/>
    <s v="Chennai"/>
    <n v="1943"/>
    <x v="2"/>
    <n v="4"/>
    <n v="12608.55"/>
    <n v="0"/>
    <n v="2.3E-2"/>
    <n v="7"/>
    <x v="2"/>
  </r>
  <r>
    <s v="T1449"/>
    <s v="U5735"/>
    <n v="47233.48"/>
    <s v="Transfer"/>
    <s v="Wallet"/>
    <s v="iOS"/>
    <s v="Bangalore"/>
    <n v="481"/>
    <x v="3"/>
    <n v="1"/>
    <n v="2932.78"/>
    <n v="0"/>
    <n v="0.107"/>
    <n v="9"/>
    <x v="2"/>
  </r>
  <r>
    <s v="T1453"/>
    <s v="U4810"/>
    <n v="43451.8"/>
    <s v="Withdrawal"/>
    <s v="Card"/>
    <s v="Web"/>
    <s v="Mumbai"/>
    <n v="896"/>
    <x v="3"/>
    <n v="1"/>
    <n v="2558.16"/>
    <n v="0"/>
    <n v="0.27700000000000002"/>
    <n v="9"/>
    <x v="2"/>
  </r>
  <r>
    <s v="T1464"/>
    <s v="U7093"/>
    <n v="32909.370000000003"/>
    <s v="Transfer"/>
    <s v="NetBanking"/>
    <s v="iOS"/>
    <s v="Hyderabad"/>
    <n v="314"/>
    <x v="0"/>
    <n v="1"/>
    <n v="19126.43"/>
    <n v="0"/>
    <n v="1.4E-2"/>
    <n v="6"/>
    <x v="2"/>
  </r>
  <r>
    <s v="T1470"/>
    <s v="U7111"/>
    <n v="39130.15"/>
    <s v="Withdrawal"/>
    <s v="NetBanking"/>
    <s v="Web"/>
    <s v="Mumbai"/>
    <n v="1241"/>
    <x v="15"/>
    <n v="1"/>
    <n v="27733.25"/>
    <n v="0"/>
    <n v="0.17599999999999999"/>
    <n v="9"/>
    <x v="2"/>
  </r>
  <r>
    <s v="T1507"/>
    <s v="U5746"/>
    <n v="29029.61"/>
    <s v="Withdrawal"/>
    <s v="UPI"/>
    <s v="iOS"/>
    <s v="Hyderabad"/>
    <n v="914"/>
    <x v="8"/>
    <n v="1"/>
    <n v="1711.27"/>
    <n v="0"/>
    <n v="0.182"/>
    <n v="8"/>
    <x v="2"/>
  </r>
  <r>
    <s v="T1518"/>
    <s v="U5208"/>
    <n v="44906.63"/>
    <s v="Withdrawal"/>
    <s v="NetBanking"/>
    <s v="iOS"/>
    <s v="Delhi"/>
    <n v="1844"/>
    <x v="21"/>
    <n v="4"/>
    <n v="435.39"/>
    <n v="0"/>
    <n v="0.16"/>
    <n v="9"/>
    <x v="2"/>
  </r>
  <r>
    <s v="T1520"/>
    <s v="U9214"/>
    <n v="46355.38"/>
    <s v="Transfer"/>
    <s v="NetBanking"/>
    <s v="Android"/>
    <s v="Hyderabad"/>
    <n v="1244"/>
    <x v="15"/>
    <n v="0"/>
    <n v="25619.52"/>
    <n v="0"/>
    <n v="0.65400000000000003"/>
    <n v="6"/>
    <x v="2"/>
  </r>
  <r>
    <s v="T1523"/>
    <s v="U9458"/>
    <n v="17613.55"/>
    <s v="Payment"/>
    <s v="UPI"/>
    <s v="Web"/>
    <s v="Bangalore"/>
    <n v="1421"/>
    <x v="8"/>
    <n v="4"/>
    <n v="2068.54"/>
    <n v="0"/>
    <n v="0.11799999999999999"/>
    <n v="6"/>
    <x v="2"/>
  </r>
  <r>
    <s v="T1546"/>
    <s v="U3912"/>
    <n v="24203.11"/>
    <s v="Withdrawal"/>
    <s v="UPI"/>
    <s v="Web"/>
    <s v="Hyderabad"/>
    <n v="1599"/>
    <x v="8"/>
    <n v="4"/>
    <n v="24668.35"/>
    <n v="0"/>
    <n v="0.46400000000000002"/>
    <n v="5"/>
    <x v="2"/>
  </r>
  <r>
    <s v="T1548"/>
    <s v="U8131"/>
    <n v="27533.82"/>
    <s v="Payment"/>
    <s v="NetBanking"/>
    <s v="Web"/>
    <s v="Chennai"/>
    <n v="1018"/>
    <x v="21"/>
    <n v="0"/>
    <n v="9689.2000000000007"/>
    <n v="0"/>
    <n v="0.43"/>
    <n v="8"/>
    <x v="2"/>
  </r>
  <r>
    <s v="T1549"/>
    <s v="U3546"/>
    <n v="2218.46"/>
    <s v="Withdrawal"/>
    <s v="Card"/>
    <s v="iOS"/>
    <s v="Mumbai"/>
    <n v="452"/>
    <x v="16"/>
    <n v="2"/>
    <n v="24129.11"/>
    <n v="0"/>
    <n v="0.39600000000000002"/>
    <n v="8"/>
    <x v="2"/>
  </r>
  <r>
    <s v="T1562"/>
    <s v="U2316"/>
    <n v="11881.68"/>
    <s v="Payment"/>
    <s v="Wallet"/>
    <s v="Web"/>
    <s v="Chennai"/>
    <n v="1610"/>
    <x v="1"/>
    <n v="1"/>
    <n v="27923.53"/>
    <n v="0"/>
    <n v="6.6000000000000003E-2"/>
    <n v="6"/>
    <x v="2"/>
  </r>
  <r>
    <s v="T1565"/>
    <s v="U6120"/>
    <n v="41139.589999999997"/>
    <s v="Withdrawal"/>
    <s v="UPI"/>
    <s v="Android"/>
    <s v="Delhi"/>
    <n v="1404"/>
    <x v="15"/>
    <n v="2"/>
    <n v="16299.66"/>
    <n v="1"/>
    <n v="8.3000000000000004E-2"/>
    <n v="7"/>
    <x v="2"/>
  </r>
  <r>
    <s v="T1576"/>
    <s v="U7003"/>
    <n v="4830.9399999999996"/>
    <s v="Transfer"/>
    <s v="NetBanking"/>
    <s v="Web"/>
    <s v="Hyderabad"/>
    <n v="542"/>
    <x v="22"/>
    <n v="0"/>
    <n v="5537.22"/>
    <n v="0"/>
    <n v="0.42699999999999999"/>
    <n v="4"/>
    <x v="2"/>
  </r>
  <r>
    <s v="T1591"/>
    <s v="U6034"/>
    <n v="34637.19"/>
    <s v="Payment"/>
    <s v="Card"/>
    <s v="Web"/>
    <s v="Chennai"/>
    <n v="451"/>
    <x v="20"/>
    <n v="1"/>
    <n v="28256.73"/>
    <n v="0"/>
    <n v="0.82099999999999995"/>
    <n v="9"/>
    <x v="2"/>
  </r>
  <r>
    <s v="T1606"/>
    <s v="U5670"/>
    <n v="25977.040000000001"/>
    <s v="Transfer"/>
    <s v="Wallet"/>
    <s v="iOS"/>
    <s v="Chennai"/>
    <n v="1888"/>
    <x v="5"/>
    <n v="4"/>
    <n v="26774.97"/>
    <n v="0"/>
    <n v="2.5000000000000001E-2"/>
    <n v="6"/>
    <x v="2"/>
  </r>
  <r>
    <s v="T1628"/>
    <s v="U9448"/>
    <n v="26814.59"/>
    <s v="Withdrawal"/>
    <s v="Card"/>
    <s v="Web"/>
    <s v="Delhi"/>
    <n v="1223"/>
    <x v="13"/>
    <n v="1"/>
    <n v="24034.46"/>
    <n v="0"/>
    <n v="0.60099999999999998"/>
    <n v="9"/>
    <x v="2"/>
  </r>
  <r>
    <s v="T1636"/>
    <s v="U6771"/>
    <n v="11770.37"/>
    <s v="Withdrawal"/>
    <s v="Wallet"/>
    <s v="Android"/>
    <s v="Mumbai"/>
    <n v="1689"/>
    <x v="15"/>
    <n v="1"/>
    <n v="22271.13"/>
    <n v="0"/>
    <n v="0.55200000000000005"/>
    <n v="3"/>
    <x v="2"/>
  </r>
  <r>
    <s v="T1678"/>
    <s v="U8872"/>
    <n v="20178.86"/>
    <s v="Transfer"/>
    <s v="UPI"/>
    <s v="iOS"/>
    <s v="Chennai"/>
    <n v="211"/>
    <x v="18"/>
    <n v="1"/>
    <n v="8067.55"/>
    <n v="0"/>
    <n v="0.40400000000000003"/>
    <n v="4"/>
    <x v="2"/>
  </r>
  <r>
    <s v="T1679"/>
    <s v="U6356"/>
    <n v="8717.5499999999993"/>
    <s v="Transfer"/>
    <s v="NetBanking"/>
    <s v="Android"/>
    <s v="Mumbai"/>
    <n v="1566"/>
    <x v="1"/>
    <n v="4"/>
    <n v="26750.400000000001"/>
    <n v="0"/>
    <n v="0.82399999999999995"/>
    <n v="7"/>
    <x v="2"/>
  </r>
  <r>
    <s v="T1686"/>
    <s v="U9185"/>
    <n v="43107.62"/>
    <s v="Payment"/>
    <s v="UPI"/>
    <s v="iOS"/>
    <s v="Mumbai"/>
    <n v="1490"/>
    <x v="16"/>
    <n v="4"/>
    <n v="22732.34"/>
    <n v="0"/>
    <n v="0.53300000000000003"/>
    <n v="7"/>
    <x v="2"/>
  </r>
  <r>
    <s v="T1688"/>
    <s v="U6030"/>
    <n v="24378.74"/>
    <s v="Withdrawal"/>
    <s v="NetBanking"/>
    <s v="Android"/>
    <s v="Hyderabad"/>
    <n v="454"/>
    <x v="20"/>
    <n v="4"/>
    <n v="7463.56"/>
    <n v="0"/>
    <n v="0.69499999999999995"/>
    <n v="3"/>
    <x v="2"/>
  </r>
  <r>
    <s v="T1698"/>
    <s v="U6235"/>
    <n v="6801.56"/>
    <s v="Withdrawal"/>
    <s v="UPI"/>
    <s v="Web"/>
    <s v="Bangalore"/>
    <n v="58"/>
    <x v="20"/>
    <n v="0"/>
    <n v="27405.96"/>
    <n v="0"/>
    <n v="0.70499999999999996"/>
    <n v="2"/>
    <x v="2"/>
  </r>
  <r>
    <s v="T1717"/>
    <s v="U5461"/>
    <n v="2936.14"/>
    <s v="Transfer"/>
    <s v="UPI"/>
    <s v="Android"/>
    <s v="Bangalore"/>
    <n v="1571"/>
    <x v="14"/>
    <n v="0"/>
    <n v="19965.48"/>
    <n v="0"/>
    <n v="0.88200000000000001"/>
    <n v="6"/>
    <x v="2"/>
  </r>
  <r>
    <s v="T1722"/>
    <s v="U9606"/>
    <n v="6113.18"/>
    <s v="Payment"/>
    <s v="Wallet"/>
    <s v="Web"/>
    <s v="Hyderabad"/>
    <n v="426"/>
    <x v="8"/>
    <n v="1"/>
    <n v="16834.37"/>
    <n v="0"/>
    <n v="0.216"/>
    <n v="3"/>
    <x v="2"/>
  </r>
  <r>
    <s v="T1731"/>
    <s v="U2357"/>
    <n v="15347.37"/>
    <s v="Withdrawal"/>
    <s v="NetBanking"/>
    <s v="iOS"/>
    <s v="Mumbai"/>
    <n v="802"/>
    <x v="20"/>
    <n v="3"/>
    <n v="5256.12"/>
    <n v="0"/>
    <n v="0.33"/>
    <n v="5"/>
    <x v="2"/>
  </r>
  <r>
    <s v="T1732"/>
    <s v="U6512"/>
    <n v="31213.599999999999"/>
    <s v="Withdrawal"/>
    <s v="UPI"/>
    <s v="Web"/>
    <s v="Bangalore"/>
    <n v="1458"/>
    <x v="20"/>
    <n v="0"/>
    <n v="27033.41"/>
    <n v="0"/>
    <n v="0.38"/>
    <n v="7"/>
    <x v="2"/>
  </r>
  <r>
    <s v="T1748"/>
    <s v="U7488"/>
    <n v="13027.67"/>
    <s v="Withdrawal"/>
    <s v="Wallet"/>
    <s v="Web"/>
    <s v="Delhi"/>
    <n v="1077"/>
    <x v="18"/>
    <n v="2"/>
    <n v="12807.18"/>
    <n v="0"/>
    <n v="0.66400000000000003"/>
    <n v="5"/>
    <x v="2"/>
  </r>
  <r>
    <s v="T1754"/>
    <s v="U8739"/>
    <n v="12098.01"/>
    <s v="Transfer"/>
    <s v="Card"/>
    <s v="Android"/>
    <s v="Hyderabad"/>
    <n v="473"/>
    <x v="6"/>
    <n v="1"/>
    <n v="8307.91"/>
    <n v="0"/>
    <n v="0.85399999999999998"/>
    <n v="3"/>
    <x v="2"/>
  </r>
  <r>
    <s v="T1761"/>
    <s v="U6207"/>
    <n v="22746.15"/>
    <s v="Withdrawal"/>
    <s v="Card"/>
    <s v="Android"/>
    <s v="Bangalore"/>
    <n v="24"/>
    <x v="1"/>
    <n v="1"/>
    <n v="17454.009999999998"/>
    <n v="0"/>
    <n v="0.79"/>
    <n v="7"/>
    <x v="2"/>
  </r>
  <r>
    <s v="T1768"/>
    <s v="U3924"/>
    <n v="23827.11"/>
    <s v="Withdrawal"/>
    <s v="Card"/>
    <s v="iOS"/>
    <s v="Chennai"/>
    <n v="1257"/>
    <x v="6"/>
    <n v="2"/>
    <n v="16080.23"/>
    <n v="1"/>
    <n v="0.875"/>
    <n v="4"/>
    <x v="2"/>
  </r>
  <r>
    <s v="T1779"/>
    <s v="U8736"/>
    <n v="12770.8"/>
    <s v="Withdrawal"/>
    <s v="Wallet"/>
    <s v="Android"/>
    <s v="Hyderabad"/>
    <n v="776"/>
    <x v="7"/>
    <n v="2"/>
    <n v="20320.84"/>
    <n v="0"/>
    <n v="0.21299999999999999"/>
    <n v="8"/>
    <x v="2"/>
  </r>
  <r>
    <s v="T1783"/>
    <s v="U5989"/>
    <n v="23100.799999999999"/>
    <s v="Transfer"/>
    <s v="UPI"/>
    <s v="Android"/>
    <s v="Chennai"/>
    <n v="414"/>
    <x v="10"/>
    <n v="0"/>
    <n v="9933.2900000000009"/>
    <n v="0"/>
    <n v="0.307"/>
    <n v="4"/>
    <x v="2"/>
  </r>
  <r>
    <s v="T1785"/>
    <s v="U6533"/>
    <n v="32984.730000000003"/>
    <s v="Withdrawal"/>
    <s v="UPI"/>
    <s v="Android"/>
    <s v="Hyderabad"/>
    <n v="716"/>
    <x v="14"/>
    <n v="3"/>
    <n v="25701.49"/>
    <n v="0"/>
    <n v="0.995"/>
    <n v="7"/>
    <x v="2"/>
  </r>
  <r>
    <s v="T1786"/>
    <s v="U1141"/>
    <n v="44761.13"/>
    <s v="Transfer"/>
    <s v="Wallet"/>
    <s v="Android"/>
    <s v="Delhi"/>
    <n v="938"/>
    <x v="4"/>
    <n v="1"/>
    <n v="11311.06"/>
    <n v="0"/>
    <n v="0.313"/>
    <n v="1"/>
    <x v="2"/>
  </r>
  <r>
    <s v="T1788"/>
    <s v="U7281"/>
    <n v="30715.98"/>
    <s v="Withdrawal"/>
    <s v="NetBanking"/>
    <s v="Web"/>
    <s v="Hyderabad"/>
    <n v="1436"/>
    <x v="22"/>
    <n v="1"/>
    <n v="6589.22"/>
    <n v="0"/>
    <n v="0.98399999999999999"/>
    <n v="3"/>
    <x v="2"/>
  </r>
  <r>
    <s v="T1818"/>
    <s v="U2611"/>
    <n v="38472.699999999997"/>
    <s v="Withdrawal"/>
    <s v="Wallet"/>
    <s v="Android"/>
    <s v="Mumbai"/>
    <n v="1743"/>
    <x v="4"/>
    <n v="2"/>
    <n v="20919.919999999998"/>
    <n v="0"/>
    <n v="0.29499999999999998"/>
    <n v="5"/>
    <x v="2"/>
  </r>
  <r>
    <s v="T1828"/>
    <s v="U9701"/>
    <n v="48426.01"/>
    <s v="Payment"/>
    <s v="Card"/>
    <s v="iOS"/>
    <s v="Bangalore"/>
    <n v="1459"/>
    <x v="1"/>
    <n v="1"/>
    <n v="6088.06"/>
    <n v="0"/>
    <n v="0.49299999999999999"/>
    <n v="4"/>
    <x v="2"/>
  </r>
  <r>
    <s v="T1831"/>
    <s v="U7573"/>
    <n v="48999.519999999997"/>
    <s v="Payment"/>
    <s v="UPI"/>
    <s v="iOS"/>
    <s v="Hyderabad"/>
    <n v="844"/>
    <x v="6"/>
    <n v="2"/>
    <n v="27016.959999999999"/>
    <n v="0"/>
    <n v="0.55000000000000004"/>
    <n v="4"/>
    <x v="2"/>
  </r>
  <r>
    <s v="T1838"/>
    <s v="U8065"/>
    <n v="16946.46"/>
    <s v="Withdrawal"/>
    <s v="UPI"/>
    <s v="iOS"/>
    <s v="Hyderabad"/>
    <n v="275"/>
    <x v="22"/>
    <n v="1"/>
    <n v="7584.47"/>
    <n v="0"/>
    <n v="0.68300000000000005"/>
    <n v="5"/>
    <x v="2"/>
  </r>
  <r>
    <s v="T1845"/>
    <s v="U1585"/>
    <n v="47156.639999999999"/>
    <s v="Transfer"/>
    <s v="NetBanking"/>
    <s v="Android"/>
    <s v="Mumbai"/>
    <n v="1082"/>
    <x v="22"/>
    <n v="1"/>
    <n v="13608.63"/>
    <n v="0"/>
    <n v="0.39500000000000002"/>
    <n v="4"/>
    <x v="2"/>
  </r>
  <r>
    <s v="T1851"/>
    <s v="U4230"/>
    <n v="14331.04"/>
    <s v="Withdrawal"/>
    <s v="Wallet"/>
    <s v="iOS"/>
    <s v="Mumbai"/>
    <n v="1105"/>
    <x v="16"/>
    <n v="2"/>
    <n v="4167.05"/>
    <n v="0"/>
    <n v="0.46899999999999997"/>
    <n v="1"/>
    <x v="2"/>
  </r>
  <r>
    <s v="T1856"/>
    <s v="U9356"/>
    <n v="12649.44"/>
    <s v="Withdrawal"/>
    <s v="Wallet"/>
    <s v="Web"/>
    <s v="Mumbai"/>
    <n v="1005"/>
    <x v="20"/>
    <n v="4"/>
    <n v="14278.75"/>
    <n v="0"/>
    <n v="0.91600000000000004"/>
    <n v="6"/>
    <x v="2"/>
  </r>
  <r>
    <s v="T1862"/>
    <s v="U1243"/>
    <n v="32825.279999999999"/>
    <s v="Withdrawal"/>
    <s v="NetBanking"/>
    <s v="Web"/>
    <s v="Delhi"/>
    <n v="166"/>
    <x v="17"/>
    <n v="4"/>
    <n v="22584.02"/>
    <n v="0"/>
    <n v="0.44"/>
    <n v="7"/>
    <x v="2"/>
  </r>
  <r>
    <s v="T1897"/>
    <s v="U6960"/>
    <n v="30818.47"/>
    <s v="Payment"/>
    <s v="UPI"/>
    <s v="iOS"/>
    <s v="Mumbai"/>
    <n v="491"/>
    <x v="20"/>
    <n v="0"/>
    <n v="5204.1099999999997"/>
    <n v="0"/>
    <n v="0.377"/>
    <n v="2"/>
    <x v="2"/>
  </r>
  <r>
    <s v="T1910"/>
    <s v="U9847"/>
    <n v="7486.96"/>
    <s v="Payment"/>
    <s v="Card"/>
    <s v="Android"/>
    <s v="Chennai"/>
    <n v="528"/>
    <x v="9"/>
    <n v="3"/>
    <n v="17518.55"/>
    <n v="0"/>
    <n v="0.81299999999999994"/>
    <n v="9"/>
    <x v="2"/>
  </r>
  <r>
    <s v="T1914"/>
    <s v="U8020"/>
    <n v="18447.060000000001"/>
    <s v="Transfer"/>
    <s v="NetBanking"/>
    <s v="Web"/>
    <s v="Mumbai"/>
    <n v="1867"/>
    <x v="0"/>
    <n v="3"/>
    <n v="29624.75"/>
    <n v="0"/>
    <n v="0.96599999999999997"/>
    <n v="3"/>
    <x v="2"/>
  </r>
  <r>
    <s v="T1915"/>
    <s v="U1872"/>
    <n v="22458.1"/>
    <s v="Transfer"/>
    <s v="UPI"/>
    <s v="Web"/>
    <s v="Bangalore"/>
    <n v="1069"/>
    <x v="4"/>
    <n v="0"/>
    <n v="17564.09"/>
    <n v="0"/>
    <n v="0.221"/>
    <n v="1"/>
    <x v="2"/>
  </r>
  <r>
    <s v="T1938"/>
    <s v="U8513"/>
    <n v="41261.22"/>
    <s v="Withdrawal"/>
    <s v="NetBanking"/>
    <s v="iOS"/>
    <s v="Bangalore"/>
    <n v="1213"/>
    <x v="9"/>
    <n v="4"/>
    <n v="6720.39"/>
    <n v="0"/>
    <n v="0.92300000000000004"/>
    <n v="4"/>
    <x v="2"/>
  </r>
  <r>
    <s v="T1939"/>
    <s v="U7190"/>
    <n v="24937.87"/>
    <s v="Transfer"/>
    <s v="Card"/>
    <s v="Android"/>
    <s v="Mumbai"/>
    <n v="967"/>
    <x v="4"/>
    <n v="2"/>
    <n v="27905.75"/>
    <n v="0"/>
    <n v="0.38100000000000001"/>
    <n v="7"/>
    <x v="2"/>
  </r>
  <r>
    <s v="T2004"/>
    <s v="U3886"/>
    <n v="12514.83"/>
    <s v="Withdrawal"/>
    <s v="NetBanking"/>
    <s v="Android"/>
    <s v="Delhi"/>
    <n v="1945"/>
    <x v="17"/>
    <n v="4"/>
    <n v="18480.04"/>
    <n v="0"/>
    <n v="0.54"/>
    <n v="2"/>
    <x v="2"/>
  </r>
  <r>
    <s v="T2008"/>
    <s v="U1810"/>
    <n v="38846.69"/>
    <s v="Payment"/>
    <s v="NetBanking"/>
    <s v="Android"/>
    <s v="Chennai"/>
    <n v="1610"/>
    <x v="13"/>
    <n v="2"/>
    <n v="2163.67"/>
    <n v="0"/>
    <n v="0.19400000000000001"/>
    <n v="6"/>
    <x v="2"/>
  </r>
  <r>
    <s v="T2016"/>
    <s v="U1157"/>
    <n v="20584.23"/>
    <s v="Payment"/>
    <s v="UPI"/>
    <s v="Android"/>
    <s v="Delhi"/>
    <n v="1643"/>
    <x v="13"/>
    <n v="4"/>
    <n v="16019.39"/>
    <n v="0"/>
    <n v="0.60899999999999999"/>
    <n v="8"/>
    <x v="2"/>
  </r>
  <r>
    <s v="T2021"/>
    <s v="U3879"/>
    <n v="48171.55"/>
    <s v="Payment"/>
    <s v="UPI"/>
    <s v="iOS"/>
    <s v="Hyderabad"/>
    <n v="152"/>
    <x v="2"/>
    <n v="3"/>
    <n v="2121.88"/>
    <n v="0"/>
    <n v="3.0000000000000001E-3"/>
    <n v="9"/>
    <x v="2"/>
  </r>
  <r>
    <s v="T2024"/>
    <s v="U1695"/>
    <n v="2660.28"/>
    <s v="Transfer"/>
    <s v="Card"/>
    <s v="iOS"/>
    <s v="Hyderabad"/>
    <n v="63"/>
    <x v="4"/>
    <n v="2"/>
    <n v="25695.19"/>
    <n v="0"/>
    <n v="0.16900000000000001"/>
    <n v="6"/>
    <x v="2"/>
  </r>
  <r>
    <s v="T2036"/>
    <s v="U1816"/>
    <n v="17507.84"/>
    <s v="Payment"/>
    <s v="Wallet"/>
    <s v="iOS"/>
    <s v="Delhi"/>
    <n v="850"/>
    <x v="3"/>
    <n v="3"/>
    <n v="8328.8799999999992"/>
    <n v="0"/>
    <n v="0.80300000000000005"/>
    <n v="2"/>
    <x v="2"/>
  </r>
  <r>
    <s v="T2048"/>
    <s v="U5367"/>
    <n v="35406.36"/>
    <s v="Payment"/>
    <s v="UPI"/>
    <s v="iOS"/>
    <s v="Bangalore"/>
    <n v="1261"/>
    <x v="9"/>
    <n v="4"/>
    <n v="26019.54"/>
    <n v="0"/>
    <n v="0.34300000000000003"/>
    <n v="6"/>
    <x v="2"/>
  </r>
  <r>
    <s v="T2052"/>
    <s v="U8193"/>
    <n v="24260.58"/>
    <s v="Withdrawal"/>
    <s v="Wallet"/>
    <s v="Android"/>
    <s v="Hyderabad"/>
    <n v="1793"/>
    <x v="4"/>
    <n v="3"/>
    <n v="21019.19"/>
    <n v="0"/>
    <n v="0.51"/>
    <n v="5"/>
    <x v="2"/>
  </r>
  <r>
    <s v="T2070"/>
    <s v="U5739"/>
    <n v="16544.240000000002"/>
    <s v="Transfer"/>
    <s v="Card"/>
    <s v="Android"/>
    <s v="Delhi"/>
    <n v="853"/>
    <x v="20"/>
    <n v="3"/>
    <n v="27289.040000000001"/>
    <n v="0"/>
    <n v="0.62"/>
    <n v="5"/>
    <x v="2"/>
  </r>
  <r>
    <s v="T2082"/>
    <s v="U6516"/>
    <n v="3306.97"/>
    <s v="Payment"/>
    <s v="NetBanking"/>
    <s v="iOS"/>
    <s v="Hyderabad"/>
    <n v="446"/>
    <x v="9"/>
    <n v="4"/>
    <n v="11115.02"/>
    <n v="1"/>
    <n v="0.72099999999999997"/>
    <n v="7"/>
    <x v="2"/>
  </r>
  <r>
    <s v="T2119"/>
    <s v="U4917"/>
    <n v="4219.03"/>
    <s v="Payment"/>
    <s v="UPI"/>
    <s v="Android"/>
    <s v="Delhi"/>
    <n v="1597"/>
    <x v="16"/>
    <n v="4"/>
    <n v="7634.27"/>
    <n v="0"/>
    <n v="0.89300000000000002"/>
    <n v="1"/>
    <x v="2"/>
  </r>
  <r>
    <s v="T2155"/>
    <s v="U3338"/>
    <n v="5076.84"/>
    <s v="Withdrawal"/>
    <s v="UPI"/>
    <s v="Web"/>
    <s v="Mumbai"/>
    <n v="953"/>
    <x v="0"/>
    <n v="3"/>
    <n v="21387.57"/>
    <n v="0"/>
    <n v="0.69399999999999995"/>
    <n v="7"/>
    <x v="2"/>
  </r>
  <r>
    <s v="T2157"/>
    <s v="U5597"/>
    <n v="7141.5"/>
    <s v="Transfer"/>
    <s v="UPI"/>
    <s v="Web"/>
    <s v="Hyderabad"/>
    <n v="242"/>
    <x v="14"/>
    <n v="4"/>
    <n v="5253.1"/>
    <n v="0"/>
    <n v="0.60599999999999998"/>
    <n v="7"/>
    <x v="2"/>
  </r>
  <r>
    <s v="T2165"/>
    <s v="U9756"/>
    <n v="23590.79"/>
    <s v="Payment"/>
    <s v="Wallet"/>
    <s v="Android"/>
    <s v="Bangalore"/>
    <n v="1981"/>
    <x v="0"/>
    <n v="1"/>
    <n v="6286.42"/>
    <n v="0"/>
    <n v="0.22700000000000001"/>
    <n v="8"/>
    <x v="2"/>
  </r>
  <r>
    <s v="T2174"/>
    <s v="U6942"/>
    <n v="42794.080000000002"/>
    <s v="Transfer"/>
    <s v="NetBanking"/>
    <s v="Web"/>
    <s v="Bangalore"/>
    <n v="1854"/>
    <x v="23"/>
    <n v="2"/>
    <n v="16752.169999999998"/>
    <n v="0"/>
    <n v="0.497"/>
    <n v="6"/>
    <x v="2"/>
  </r>
  <r>
    <s v="T2192"/>
    <s v="U5139"/>
    <n v="45364.39"/>
    <s v="Withdrawal"/>
    <s v="Card"/>
    <s v="iOS"/>
    <s v="Delhi"/>
    <n v="1216"/>
    <x v="6"/>
    <n v="3"/>
    <n v="16859.240000000002"/>
    <n v="0"/>
    <n v="0.89500000000000002"/>
    <n v="5"/>
    <x v="2"/>
  </r>
  <r>
    <s v="T2209"/>
    <s v="U4607"/>
    <n v="14646.3"/>
    <s v="Transfer"/>
    <s v="Card"/>
    <s v="iOS"/>
    <s v="Bangalore"/>
    <n v="20"/>
    <x v="14"/>
    <n v="4"/>
    <n v="9852.2900000000009"/>
    <n v="0"/>
    <n v="0.71"/>
    <n v="2"/>
    <x v="2"/>
  </r>
  <r>
    <s v="T2214"/>
    <s v="U9807"/>
    <n v="48142.38"/>
    <s v="Withdrawal"/>
    <s v="NetBanking"/>
    <s v="Web"/>
    <s v="Bangalore"/>
    <n v="1639"/>
    <x v="22"/>
    <n v="3"/>
    <n v="21466.79"/>
    <n v="0"/>
    <n v="0.54600000000000004"/>
    <n v="6"/>
    <x v="2"/>
  </r>
  <r>
    <s v="T2267"/>
    <s v="U3606"/>
    <n v="29605.27"/>
    <s v="Withdrawal"/>
    <s v="Wallet"/>
    <s v="iOS"/>
    <s v="Hyderabad"/>
    <n v="1738"/>
    <x v="7"/>
    <n v="0"/>
    <n v="1467.67"/>
    <n v="0"/>
    <n v="0.27300000000000002"/>
    <n v="9"/>
    <x v="2"/>
  </r>
  <r>
    <s v="T2304"/>
    <s v="U1017"/>
    <n v="14709.77"/>
    <s v="Transfer"/>
    <s v="Card"/>
    <s v="Android"/>
    <s v="Hyderabad"/>
    <n v="1106"/>
    <x v="8"/>
    <n v="0"/>
    <n v="28962"/>
    <n v="0"/>
    <n v="0.27100000000000002"/>
    <n v="5"/>
    <x v="2"/>
  </r>
  <r>
    <s v="T2310"/>
    <s v="U3266"/>
    <n v="17293.900000000001"/>
    <s v="Transfer"/>
    <s v="Wallet"/>
    <s v="Android"/>
    <s v="Hyderabad"/>
    <n v="804"/>
    <x v="14"/>
    <n v="2"/>
    <n v="16979.12"/>
    <n v="0"/>
    <n v="0.54"/>
    <n v="6"/>
    <x v="2"/>
  </r>
  <r>
    <s v="T2346"/>
    <s v="U3256"/>
    <n v="33445.199999999997"/>
    <s v="Transfer"/>
    <s v="NetBanking"/>
    <s v="Android"/>
    <s v="Hyderabad"/>
    <n v="1572"/>
    <x v="10"/>
    <n v="0"/>
    <n v="11418.19"/>
    <n v="0"/>
    <n v="0.503"/>
    <n v="8"/>
    <x v="2"/>
  </r>
  <r>
    <s v="T2370"/>
    <s v="U5812"/>
    <n v="36472.22"/>
    <s v="Withdrawal"/>
    <s v="NetBanking"/>
    <s v="iOS"/>
    <s v="Mumbai"/>
    <n v="833"/>
    <x v="8"/>
    <n v="3"/>
    <n v="26827.94"/>
    <n v="0"/>
    <n v="0.90100000000000002"/>
    <n v="2"/>
    <x v="2"/>
  </r>
  <r>
    <s v="T2419"/>
    <s v="U1792"/>
    <n v="1596.24"/>
    <s v="Payment"/>
    <s v="Wallet"/>
    <s v="iOS"/>
    <s v="Chennai"/>
    <n v="1360"/>
    <x v="18"/>
    <n v="4"/>
    <n v="20898.32"/>
    <n v="0"/>
    <n v="0.52600000000000002"/>
    <n v="1"/>
    <x v="2"/>
  </r>
  <r>
    <s v="T2447"/>
    <s v="U4991"/>
    <n v="13003.78"/>
    <s v="Transfer"/>
    <s v="Card"/>
    <s v="Android"/>
    <s v="Bangalore"/>
    <n v="1924"/>
    <x v="19"/>
    <n v="0"/>
    <n v="835.99"/>
    <n v="0"/>
    <n v="0.96699999999999997"/>
    <n v="1"/>
    <x v="2"/>
  </r>
  <r>
    <s v="T2451"/>
    <s v="U6616"/>
    <n v="13548.87"/>
    <s v="Withdrawal"/>
    <s v="Card"/>
    <s v="iOS"/>
    <s v="Delhi"/>
    <n v="477"/>
    <x v="23"/>
    <n v="1"/>
    <n v="7418.36"/>
    <n v="0"/>
    <n v="7.0000000000000001E-3"/>
    <n v="4"/>
    <x v="2"/>
  </r>
  <r>
    <s v="T2458"/>
    <s v="U3669"/>
    <n v="31330.400000000001"/>
    <s v="Withdrawal"/>
    <s v="Card"/>
    <s v="iOS"/>
    <s v="Delhi"/>
    <n v="377"/>
    <x v="3"/>
    <n v="0"/>
    <n v="24134.46"/>
    <n v="0"/>
    <n v="0.14399999999999999"/>
    <n v="9"/>
    <x v="2"/>
  </r>
  <r>
    <s v="T2521"/>
    <s v="U3222"/>
    <n v="34641.99"/>
    <s v="Withdrawal"/>
    <s v="Wallet"/>
    <s v="Android"/>
    <s v="Bangalore"/>
    <n v="481"/>
    <x v="9"/>
    <n v="4"/>
    <n v="18580.37"/>
    <n v="0"/>
    <n v="0.38700000000000001"/>
    <n v="1"/>
    <x v="2"/>
  </r>
  <r>
    <s v="T2523"/>
    <s v="U4084"/>
    <n v="15004.81"/>
    <s v="Transfer"/>
    <s v="UPI"/>
    <s v="Web"/>
    <s v="Chennai"/>
    <n v="1448"/>
    <x v="15"/>
    <n v="2"/>
    <n v="25371.77"/>
    <n v="0"/>
    <n v="0.64400000000000002"/>
    <n v="6"/>
    <x v="2"/>
  </r>
  <r>
    <s v="T2530"/>
    <s v="U1840"/>
    <n v="49891.15"/>
    <s v="Transfer"/>
    <s v="NetBanking"/>
    <s v="Android"/>
    <s v="Mumbai"/>
    <n v="1675"/>
    <x v="13"/>
    <n v="0"/>
    <n v="9528.0400000000009"/>
    <n v="0"/>
    <n v="0.81299999999999994"/>
    <n v="9"/>
    <x v="2"/>
  </r>
  <r>
    <s v="T2551"/>
    <s v="U7014"/>
    <n v="17473.59"/>
    <s v="Payment"/>
    <s v="Wallet"/>
    <s v="Web"/>
    <s v="Chennai"/>
    <n v="1827"/>
    <x v="3"/>
    <n v="0"/>
    <n v="20869.95"/>
    <n v="0"/>
    <n v="0.78600000000000003"/>
    <n v="1"/>
    <x v="2"/>
  </r>
  <r>
    <s v="T2577"/>
    <s v="U5910"/>
    <n v="48950.11"/>
    <s v="Transfer"/>
    <s v="Card"/>
    <s v="iOS"/>
    <s v="Bangalore"/>
    <n v="1863"/>
    <x v="17"/>
    <n v="2"/>
    <n v="27843.86"/>
    <n v="0"/>
    <n v="0.50800000000000001"/>
    <n v="6"/>
    <x v="2"/>
  </r>
  <r>
    <s v="T2593"/>
    <s v="U1188"/>
    <n v="27647.42"/>
    <s v="Transfer"/>
    <s v="UPI"/>
    <s v="Web"/>
    <s v="Hyderabad"/>
    <n v="1786"/>
    <x v="11"/>
    <n v="2"/>
    <n v="10228.68"/>
    <n v="0"/>
    <n v="0.192"/>
    <n v="7"/>
    <x v="2"/>
  </r>
  <r>
    <s v="T2602"/>
    <s v="U5557"/>
    <n v="2763.89"/>
    <s v="Transfer"/>
    <s v="Card"/>
    <s v="Web"/>
    <s v="Chennai"/>
    <n v="94"/>
    <x v="15"/>
    <n v="0"/>
    <n v="9938.64"/>
    <n v="0"/>
    <n v="0.27200000000000002"/>
    <n v="1"/>
    <x v="2"/>
  </r>
  <r>
    <s v="T2650"/>
    <s v="U7839"/>
    <n v="22912.1"/>
    <s v="Payment"/>
    <s v="Card"/>
    <s v="Web"/>
    <s v="Delhi"/>
    <n v="1890"/>
    <x v="17"/>
    <n v="0"/>
    <n v="1816.46"/>
    <n v="0"/>
    <n v="0.96599999999999997"/>
    <n v="9"/>
    <x v="2"/>
  </r>
  <r>
    <s v="T2656"/>
    <s v="U7367"/>
    <n v="20854.400000000001"/>
    <s v="Payment"/>
    <s v="UPI"/>
    <s v="Web"/>
    <s v="Hyderabad"/>
    <n v="161"/>
    <x v="7"/>
    <n v="3"/>
    <n v="28258.67"/>
    <n v="0"/>
    <n v="0.73699999999999999"/>
    <n v="5"/>
    <x v="2"/>
  </r>
  <r>
    <s v="T2665"/>
    <s v="U2653"/>
    <n v="30407.22"/>
    <s v="Payment"/>
    <s v="Wallet"/>
    <s v="Android"/>
    <s v="Delhi"/>
    <n v="1210"/>
    <x v="6"/>
    <n v="2"/>
    <n v="15208.23"/>
    <n v="0"/>
    <n v="0.19700000000000001"/>
    <n v="5"/>
    <x v="2"/>
  </r>
  <r>
    <s v="T2677"/>
    <s v="U5309"/>
    <n v="18420.91"/>
    <s v="Payment"/>
    <s v="UPI"/>
    <s v="Android"/>
    <s v="Mumbai"/>
    <n v="564"/>
    <x v="15"/>
    <n v="2"/>
    <n v="10568.15"/>
    <n v="0"/>
    <n v="0.20499999999999999"/>
    <n v="6"/>
    <x v="2"/>
  </r>
  <r>
    <s v="T2685"/>
    <s v="U2765"/>
    <n v="16900.41"/>
    <s v="Payment"/>
    <s v="UPI"/>
    <s v="Android"/>
    <s v="Mumbai"/>
    <n v="1313"/>
    <x v="7"/>
    <n v="0"/>
    <n v="25075.85"/>
    <n v="0"/>
    <n v="0.106"/>
    <n v="8"/>
    <x v="2"/>
  </r>
  <r>
    <s v="T2692"/>
    <s v="U5688"/>
    <n v="29776.83"/>
    <s v="Withdrawal"/>
    <s v="Card"/>
    <s v="Web"/>
    <s v="Bangalore"/>
    <n v="1835"/>
    <x v="21"/>
    <n v="4"/>
    <n v="14941.03"/>
    <n v="0"/>
    <n v="0.91900000000000004"/>
    <n v="2"/>
    <x v="2"/>
  </r>
  <r>
    <s v="T2733"/>
    <s v="U7243"/>
    <n v="2939.33"/>
    <s v="Payment"/>
    <s v="NetBanking"/>
    <s v="iOS"/>
    <s v="Delhi"/>
    <n v="1333"/>
    <x v="21"/>
    <n v="4"/>
    <n v="20177.41"/>
    <n v="0"/>
    <n v="0.34799999999999998"/>
    <n v="8"/>
    <x v="2"/>
  </r>
  <r>
    <s v="T2755"/>
    <s v="U5995"/>
    <n v="45878.42"/>
    <s v="Transfer"/>
    <s v="Card"/>
    <s v="Android"/>
    <s v="Delhi"/>
    <n v="1698"/>
    <x v="22"/>
    <n v="4"/>
    <n v="7173.28"/>
    <n v="0"/>
    <n v="0.93899999999999995"/>
    <n v="1"/>
    <x v="2"/>
  </r>
  <r>
    <s v="T2770"/>
    <s v="U2186"/>
    <n v="33997.040000000001"/>
    <s v="Transfer"/>
    <s v="Wallet"/>
    <s v="Android"/>
    <s v="Chennai"/>
    <n v="1830"/>
    <x v="3"/>
    <n v="4"/>
    <n v="24564.61"/>
    <n v="0"/>
    <n v="0.88400000000000001"/>
    <n v="7"/>
    <x v="2"/>
  </r>
  <r>
    <s v="T2783"/>
    <s v="U4565"/>
    <n v="49060.57"/>
    <s v="Withdrawal"/>
    <s v="UPI"/>
    <s v="Android"/>
    <s v="Delhi"/>
    <n v="1860"/>
    <x v="7"/>
    <n v="3"/>
    <n v="5691.28"/>
    <n v="0"/>
    <n v="0.38600000000000001"/>
    <n v="8"/>
    <x v="2"/>
  </r>
  <r>
    <s v="T2786"/>
    <s v="U6546"/>
    <n v="12136.76"/>
    <s v="Withdrawal"/>
    <s v="NetBanking"/>
    <s v="Web"/>
    <s v="Mumbai"/>
    <n v="221"/>
    <x v="8"/>
    <n v="0"/>
    <n v="15046.83"/>
    <n v="0"/>
    <n v="0.97"/>
    <n v="5"/>
    <x v="2"/>
  </r>
  <r>
    <s v="T2788"/>
    <s v="U2003"/>
    <n v="9886.44"/>
    <s v="Withdrawal"/>
    <s v="Wallet"/>
    <s v="Android"/>
    <s v="Chennai"/>
    <n v="860"/>
    <x v="4"/>
    <n v="2"/>
    <n v="16044.65"/>
    <n v="0"/>
    <n v="0.222"/>
    <n v="2"/>
    <x v="2"/>
  </r>
  <r>
    <s v="T2789"/>
    <s v="U6885"/>
    <n v="47573.919999999998"/>
    <s v="Withdrawal"/>
    <s v="Card"/>
    <s v="iOS"/>
    <s v="Chennai"/>
    <n v="887"/>
    <x v="13"/>
    <n v="4"/>
    <n v="13400.15"/>
    <n v="0"/>
    <n v="0.63400000000000001"/>
    <n v="3"/>
    <x v="2"/>
  </r>
  <r>
    <s v="T2803"/>
    <s v="U8908"/>
    <n v="47187.89"/>
    <s v="Payment"/>
    <s v="Wallet"/>
    <s v="Web"/>
    <s v="Chennai"/>
    <n v="1576"/>
    <x v="5"/>
    <n v="4"/>
    <n v="28645.06"/>
    <n v="0"/>
    <n v="0.876"/>
    <n v="4"/>
    <x v="2"/>
  </r>
  <r>
    <s v="T2823"/>
    <s v="U7114"/>
    <n v="31736.47"/>
    <s v="Withdrawal"/>
    <s v="UPI"/>
    <s v="Web"/>
    <s v="Hyderabad"/>
    <n v="1224"/>
    <x v="16"/>
    <n v="0"/>
    <n v="29782.45"/>
    <n v="0"/>
    <n v="0.622"/>
    <n v="9"/>
    <x v="2"/>
  </r>
  <r>
    <s v="T2856"/>
    <s v="U3993"/>
    <n v="25322.6"/>
    <s v="Payment"/>
    <s v="UPI"/>
    <s v="Android"/>
    <s v="Delhi"/>
    <n v="887"/>
    <x v="1"/>
    <n v="3"/>
    <n v="22093.75"/>
    <n v="0"/>
    <n v="0.90400000000000003"/>
    <n v="3"/>
    <x v="2"/>
  </r>
  <r>
    <s v="T2858"/>
    <s v="U9436"/>
    <n v="1994.55"/>
    <s v="Payment"/>
    <s v="UPI"/>
    <s v="Android"/>
    <s v="Delhi"/>
    <n v="1596"/>
    <x v="1"/>
    <n v="0"/>
    <n v="1127.6099999999999"/>
    <n v="0"/>
    <n v="0.66100000000000003"/>
    <n v="6"/>
    <x v="2"/>
  </r>
  <r>
    <s v="T2882"/>
    <s v="U6590"/>
    <n v="42758.76"/>
    <s v="Transfer"/>
    <s v="Wallet"/>
    <s v="Android"/>
    <s v="Mumbai"/>
    <n v="1861"/>
    <x v="12"/>
    <n v="1"/>
    <n v="24393.91"/>
    <n v="0"/>
    <n v="0.371"/>
    <n v="2"/>
    <x v="2"/>
  </r>
  <r>
    <s v="T2913"/>
    <s v="U9676"/>
    <n v="36480.769999999997"/>
    <s v="Transfer"/>
    <s v="Wallet"/>
    <s v="Web"/>
    <s v="Bangalore"/>
    <n v="1111"/>
    <x v="13"/>
    <n v="3"/>
    <n v="14496.41"/>
    <n v="0"/>
    <n v="0.39700000000000002"/>
    <n v="4"/>
    <x v="2"/>
  </r>
  <r>
    <s v="T2931"/>
    <s v="U3108"/>
    <n v="29552.36"/>
    <s v="Payment"/>
    <s v="Wallet"/>
    <s v="Android"/>
    <s v="Bangalore"/>
    <n v="1830"/>
    <x v="19"/>
    <n v="0"/>
    <n v="3631.79"/>
    <n v="0"/>
    <n v="0.89500000000000002"/>
    <n v="8"/>
    <x v="2"/>
  </r>
  <r>
    <s v="T2946"/>
    <s v="U2829"/>
    <n v="5170.67"/>
    <s v="Withdrawal"/>
    <s v="Card"/>
    <s v="Web"/>
    <s v="Bangalore"/>
    <n v="662"/>
    <x v="0"/>
    <n v="0"/>
    <n v="4236.3500000000004"/>
    <n v="0"/>
    <n v="0.874"/>
    <n v="3"/>
    <x v="2"/>
  </r>
  <r>
    <s v="T2989"/>
    <s v="U1322"/>
    <n v="35936.769999999997"/>
    <s v="Payment"/>
    <s v="UPI"/>
    <s v="Android"/>
    <s v="Hyderabad"/>
    <n v="316"/>
    <x v="0"/>
    <n v="4"/>
    <n v="24828.36"/>
    <n v="0"/>
    <n v="0.59499999999999997"/>
    <n v="2"/>
    <x v="2"/>
  </r>
  <r>
    <s v="T3011"/>
    <s v="U4915"/>
    <n v="27465.49"/>
    <s v="Withdrawal"/>
    <s v="Card"/>
    <s v="iOS"/>
    <s v="Chennai"/>
    <n v="517"/>
    <x v="6"/>
    <n v="2"/>
    <n v="14021.21"/>
    <n v="0"/>
    <n v="4.8000000000000001E-2"/>
    <n v="5"/>
    <x v="2"/>
  </r>
  <r>
    <s v="T3029"/>
    <s v="U7332"/>
    <n v="33590.379999999997"/>
    <s v="Withdrawal"/>
    <s v="Card"/>
    <s v="iOS"/>
    <s v="Mumbai"/>
    <n v="371"/>
    <x v="3"/>
    <n v="0"/>
    <n v="9474.35"/>
    <n v="0"/>
    <n v="0.495"/>
    <n v="9"/>
    <x v="2"/>
  </r>
  <r>
    <s v="T3041"/>
    <s v="U7066"/>
    <n v="9009.27"/>
    <s v="Withdrawal"/>
    <s v="UPI"/>
    <s v="iOS"/>
    <s v="Hyderabad"/>
    <n v="461"/>
    <x v="15"/>
    <n v="1"/>
    <n v="29330.22"/>
    <n v="0"/>
    <n v="0.93300000000000005"/>
    <n v="5"/>
    <x v="2"/>
  </r>
  <r>
    <s v="T3042"/>
    <s v="U4131"/>
    <n v="48535.29"/>
    <s v="Payment"/>
    <s v="Wallet"/>
    <s v="iOS"/>
    <s v="Hyderabad"/>
    <n v="1413"/>
    <x v="5"/>
    <n v="1"/>
    <n v="3892.77"/>
    <n v="0"/>
    <n v="0.56299999999999994"/>
    <n v="5"/>
    <x v="2"/>
  </r>
  <r>
    <s v="T3062"/>
    <s v="U6350"/>
    <n v="4648.75"/>
    <s v="Withdrawal"/>
    <s v="UPI"/>
    <s v="Web"/>
    <s v="Chennai"/>
    <n v="1505"/>
    <x v="12"/>
    <n v="1"/>
    <n v="23260.74"/>
    <n v="0"/>
    <n v="0.58399999999999996"/>
    <n v="4"/>
    <x v="2"/>
  </r>
  <r>
    <s v="T3070"/>
    <s v="U6233"/>
    <n v="33817.51"/>
    <s v="Transfer"/>
    <s v="UPI"/>
    <s v="Android"/>
    <s v="Mumbai"/>
    <n v="725"/>
    <x v="4"/>
    <n v="2"/>
    <n v="7280.79"/>
    <n v="0"/>
    <n v="0.20599999999999999"/>
    <n v="6"/>
    <x v="2"/>
  </r>
  <r>
    <s v="T3079"/>
    <s v="U7239"/>
    <n v="7783.69"/>
    <s v="Payment"/>
    <s v="Wallet"/>
    <s v="Android"/>
    <s v="Chennai"/>
    <n v="915"/>
    <x v="2"/>
    <n v="0"/>
    <n v="16618.66"/>
    <n v="0"/>
    <n v="0.19800000000000001"/>
    <n v="3"/>
    <x v="2"/>
  </r>
  <r>
    <s v="T3084"/>
    <s v="U3579"/>
    <n v="29399.91"/>
    <s v="Transfer"/>
    <s v="Card"/>
    <s v="Web"/>
    <s v="Mumbai"/>
    <n v="642"/>
    <x v="9"/>
    <n v="2"/>
    <n v="26511.93"/>
    <n v="0"/>
    <n v="0.59199999999999997"/>
    <n v="1"/>
    <x v="2"/>
  </r>
  <r>
    <s v="T3087"/>
    <s v="U5969"/>
    <n v="20437.18"/>
    <s v="Transfer"/>
    <s v="UPI"/>
    <s v="Android"/>
    <s v="Chennai"/>
    <n v="1944"/>
    <x v="0"/>
    <n v="4"/>
    <n v="2284.09"/>
    <n v="0"/>
    <n v="0.86799999999999999"/>
    <n v="1"/>
    <x v="2"/>
  </r>
  <r>
    <s v="T3094"/>
    <s v="U3811"/>
    <n v="41998.09"/>
    <s v="Withdrawal"/>
    <s v="Card"/>
    <s v="Android"/>
    <s v="Bangalore"/>
    <n v="763"/>
    <x v="12"/>
    <n v="0"/>
    <n v="22958.29"/>
    <n v="0"/>
    <n v="0.96699999999999997"/>
    <n v="8"/>
    <x v="2"/>
  </r>
  <r>
    <s v="T3101"/>
    <s v="U5070"/>
    <n v="4676.6400000000003"/>
    <s v="Transfer"/>
    <s v="NetBanking"/>
    <s v="Android"/>
    <s v="Chennai"/>
    <n v="1074"/>
    <x v="23"/>
    <n v="0"/>
    <n v="769.67"/>
    <n v="0"/>
    <n v="0.64200000000000002"/>
    <n v="9"/>
    <x v="2"/>
  </r>
  <r>
    <s v="T3144"/>
    <s v="U5794"/>
    <n v="26939.68"/>
    <s v="Transfer"/>
    <s v="NetBanking"/>
    <s v="Android"/>
    <s v="Bangalore"/>
    <n v="224"/>
    <x v="20"/>
    <n v="3"/>
    <n v="1819.43"/>
    <n v="0"/>
    <n v="0.82"/>
    <n v="8"/>
    <x v="2"/>
  </r>
  <r>
    <s v="T3151"/>
    <s v="U4242"/>
    <n v="31530.85"/>
    <s v="Payment"/>
    <s v="NetBanking"/>
    <s v="iOS"/>
    <s v="Bangalore"/>
    <n v="1355"/>
    <x v="11"/>
    <n v="3"/>
    <n v="22738.26"/>
    <n v="0"/>
    <n v="0.46300000000000002"/>
    <n v="9"/>
    <x v="2"/>
  </r>
  <r>
    <s v="T3153"/>
    <s v="U2405"/>
    <n v="35287.769999999997"/>
    <s v="Payment"/>
    <s v="Card"/>
    <s v="iOS"/>
    <s v="Mumbai"/>
    <n v="846"/>
    <x v="17"/>
    <n v="0"/>
    <n v="29308.880000000001"/>
    <n v="0"/>
    <n v="1.7000000000000001E-2"/>
    <n v="1"/>
    <x v="2"/>
  </r>
  <r>
    <s v="T3207"/>
    <s v="U3263"/>
    <n v="42945.279999999999"/>
    <s v="Transfer"/>
    <s v="Card"/>
    <s v="iOS"/>
    <s v="Chennai"/>
    <n v="1937"/>
    <x v="20"/>
    <n v="0"/>
    <n v="5525.26"/>
    <n v="0"/>
    <n v="0.23899999999999999"/>
    <n v="6"/>
    <x v="2"/>
  </r>
  <r>
    <s v="T3231"/>
    <s v="U2384"/>
    <n v="25985.27"/>
    <s v="Withdrawal"/>
    <s v="UPI"/>
    <s v="iOS"/>
    <s v="Mumbai"/>
    <n v="1529"/>
    <x v="11"/>
    <n v="2"/>
    <n v="11727.47"/>
    <n v="0"/>
    <n v="0.307"/>
    <n v="6"/>
    <x v="2"/>
  </r>
  <r>
    <s v="T3236"/>
    <s v="U2205"/>
    <n v="11748.46"/>
    <s v="Payment"/>
    <s v="Card"/>
    <s v="Android"/>
    <s v="Mumbai"/>
    <n v="1158"/>
    <x v="0"/>
    <n v="0"/>
    <n v="5889.6"/>
    <n v="0"/>
    <n v="0.13200000000000001"/>
    <n v="3"/>
    <x v="2"/>
  </r>
  <r>
    <s v="T3249"/>
    <s v="U9949"/>
    <n v="43532.82"/>
    <s v="Payment"/>
    <s v="Wallet"/>
    <s v="iOS"/>
    <s v="Mumbai"/>
    <n v="572"/>
    <x v="12"/>
    <n v="0"/>
    <n v="6794.32"/>
    <n v="0"/>
    <n v="0.63700000000000001"/>
    <n v="7"/>
    <x v="2"/>
  </r>
  <r>
    <s v="T3255"/>
    <s v="U5795"/>
    <n v="16893.47"/>
    <s v="Transfer"/>
    <s v="Card"/>
    <s v="iOS"/>
    <s v="Chennai"/>
    <n v="1792"/>
    <x v="12"/>
    <n v="0"/>
    <n v="20787.93"/>
    <n v="0"/>
    <n v="0.51800000000000002"/>
    <n v="1"/>
    <x v="2"/>
  </r>
  <r>
    <s v="T3313"/>
    <s v="U2598"/>
    <n v="35452.839999999997"/>
    <s v="Payment"/>
    <s v="Card"/>
    <s v="iOS"/>
    <s v="Mumbai"/>
    <n v="1484"/>
    <x v="13"/>
    <n v="1"/>
    <n v="7576.58"/>
    <n v="0"/>
    <n v="0.55400000000000005"/>
    <n v="9"/>
    <x v="2"/>
  </r>
  <r>
    <s v="T3317"/>
    <s v="U7964"/>
    <n v="24225.27"/>
    <s v="Payment"/>
    <s v="NetBanking"/>
    <s v="Android"/>
    <s v="Delhi"/>
    <n v="1197"/>
    <x v="4"/>
    <n v="2"/>
    <n v="18014.400000000001"/>
    <n v="0"/>
    <n v="0.83399999999999996"/>
    <n v="6"/>
    <x v="2"/>
  </r>
  <r>
    <s v="T3326"/>
    <s v="U7604"/>
    <n v="37599.760000000002"/>
    <s v="Withdrawal"/>
    <s v="Wallet"/>
    <s v="Android"/>
    <s v="Mumbai"/>
    <n v="1082"/>
    <x v="11"/>
    <n v="3"/>
    <n v="7240.84"/>
    <n v="0"/>
    <n v="0.311"/>
    <n v="4"/>
    <x v="2"/>
  </r>
  <r>
    <s v="T3334"/>
    <s v="U5652"/>
    <n v="9789.01"/>
    <s v="Transfer"/>
    <s v="Wallet"/>
    <s v="iOS"/>
    <s v="Mumbai"/>
    <n v="1057"/>
    <x v="23"/>
    <n v="1"/>
    <n v="767.27"/>
    <n v="0"/>
    <n v="6.0999999999999999E-2"/>
    <n v="9"/>
    <x v="2"/>
  </r>
  <r>
    <s v="T3361"/>
    <s v="U4337"/>
    <n v="39822.26"/>
    <s v="Payment"/>
    <s v="Wallet"/>
    <s v="iOS"/>
    <s v="Hyderabad"/>
    <n v="238"/>
    <x v="7"/>
    <n v="0"/>
    <n v="11027.98"/>
    <n v="0"/>
    <n v="0.44800000000000001"/>
    <n v="8"/>
    <x v="2"/>
  </r>
  <r>
    <s v="T3375"/>
    <s v="U1009"/>
    <n v="40756.239999999998"/>
    <s v="Transfer"/>
    <s v="Wallet"/>
    <s v="Android"/>
    <s v="Bangalore"/>
    <n v="32"/>
    <x v="11"/>
    <n v="4"/>
    <n v="7536.52"/>
    <n v="0"/>
    <n v="0.92300000000000004"/>
    <n v="4"/>
    <x v="2"/>
  </r>
  <r>
    <s v="T3376"/>
    <s v="U5869"/>
    <n v="38912.36"/>
    <s v="Payment"/>
    <s v="Wallet"/>
    <s v="Web"/>
    <s v="Chennai"/>
    <n v="302"/>
    <x v="9"/>
    <n v="0"/>
    <n v="28388.95"/>
    <n v="1"/>
    <n v="4.8000000000000001E-2"/>
    <n v="7"/>
    <x v="2"/>
  </r>
  <r>
    <s v="T3394"/>
    <s v="U5757"/>
    <n v="16298.27"/>
    <s v="Payment"/>
    <s v="Wallet"/>
    <s v="Android"/>
    <s v="Hyderabad"/>
    <n v="520"/>
    <x v="9"/>
    <n v="0"/>
    <n v="26363.81"/>
    <n v="0"/>
    <n v="0.75"/>
    <n v="2"/>
    <x v="2"/>
  </r>
  <r>
    <s v="T3401"/>
    <s v="U3024"/>
    <n v="3409.43"/>
    <s v="Payment"/>
    <s v="UPI"/>
    <s v="Android"/>
    <s v="Mumbai"/>
    <n v="470"/>
    <x v="5"/>
    <n v="0"/>
    <n v="15026.03"/>
    <n v="0"/>
    <n v="0.73899999999999999"/>
    <n v="9"/>
    <x v="2"/>
  </r>
  <r>
    <s v="T3452"/>
    <s v="U5134"/>
    <n v="33755.58"/>
    <s v="Transfer"/>
    <s v="NetBanking"/>
    <s v="Web"/>
    <s v="Chennai"/>
    <n v="1666"/>
    <x v="19"/>
    <n v="2"/>
    <n v="25445.79"/>
    <n v="0"/>
    <n v="0.92400000000000004"/>
    <n v="1"/>
    <x v="2"/>
  </r>
  <r>
    <s v="T3453"/>
    <s v="U3290"/>
    <n v="33892.699999999997"/>
    <s v="Withdrawal"/>
    <s v="NetBanking"/>
    <s v="Web"/>
    <s v="Delhi"/>
    <n v="1705"/>
    <x v="2"/>
    <n v="3"/>
    <n v="27661.53"/>
    <n v="0"/>
    <n v="0.109"/>
    <n v="1"/>
    <x v="2"/>
  </r>
  <r>
    <s v="T3500"/>
    <s v="U3598"/>
    <n v="36884.43"/>
    <s v="Payment"/>
    <s v="NetBanking"/>
    <s v="iOS"/>
    <s v="Mumbai"/>
    <n v="1396"/>
    <x v="1"/>
    <n v="1"/>
    <n v="10290.32"/>
    <n v="1"/>
    <n v="0.29499999999999998"/>
    <n v="8"/>
    <x v="2"/>
  </r>
  <r>
    <s v="T3511"/>
    <s v="U8984"/>
    <n v="16797.189999999999"/>
    <s v="Payment"/>
    <s v="UPI"/>
    <s v="Web"/>
    <s v="Bangalore"/>
    <n v="341"/>
    <x v="8"/>
    <n v="4"/>
    <n v="27944.91"/>
    <n v="0"/>
    <n v="0.55900000000000005"/>
    <n v="3"/>
    <x v="2"/>
  </r>
  <r>
    <s v="T3518"/>
    <s v="U6849"/>
    <n v="19310.599999999999"/>
    <s v="Transfer"/>
    <s v="Card"/>
    <s v="Web"/>
    <s v="Bangalore"/>
    <n v="989"/>
    <x v="10"/>
    <n v="0"/>
    <n v="8528.75"/>
    <n v="0"/>
    <n v="0.53500000000000003"/>
    <n v="4"/>
    <x v="2"/>
  </r>
  <r>
    <s v="T3527"/>
    <s v="U7733"/>
    <n v="48655.19"/>
    <s v="Withdrawal"/>
    <s v="Wallet"/>
    <s v="Web"/>
    <s v="Bangalore"/>
    <n v="79"/>
    <x v="20"/>
    <n v="4"/>
    <n v="5869.69"/>
    <n v="0"/>
    <n v="0.78200000000000003"/>
    <n v="2"/>
    <x v="2"/>
  </r>
  <r>
    <s v="T3543"/>
    <s v="U1206"/>
    <n v="7388.75"/>
    <s v="Transfer"/>
    <s v="Card"/>
    <s v="iOS"/>
    <s v="Chennai"/>
    <n v="1053"/>
    <x v="3"/>
    <n v="4"/>
    <n v="19645.05"/>
    <n v="0"/>
    <n v="0.9"/>
    <n v="3"/>
    <x v="2"/>
  </r>
  <r>
    <s v="T3566"/>
    <s v="U5153"/>
    <n v="36264.050000000003"/>
    <s v="Withdrawal"/>
    <s v="NetBanking"/>
    <s v="Web"/>
    <s v="Hyderabad"/>
    <n v="664"/>
    <x v="6"/>
    <n v="1"/>
    <n v="1259.8699999999999"/>
    <n v="0"/>
    <n v="0.54300000000000004"/>
    <n v="8"/>
    <x v="2"/>
  </r>
  <r>
    <s v="T3581"/>
    <s v="U3859"/>
    <n v="24184.880000000001"/>
    <s v="Withdrawal"/>
    <s v="NetBanking"/>
    <s v="Web"/>
    <s v="Delhi"/>
    <n v="929"/>
    <x v="2"/>
    <n v="4"/>
    <n v="7822.28"/>
    <n v="0"/>
    <n v="0.434"/>
    <n v="9"/>
    <x v="2"/>
  </r>
  <r>
    <s v="T3590"/>
    <s v="U9274"/>
    <n v="9861.14"/>
    <s v="Withdrawal"/>
    <s v="Card"/>
    <s v="Android"/>
    <s v="Hyderabad"/>
    <n v="1772"/>
    <x v="0"/>
    <n v="3"/>
    <n v="5434.81"/>
    <n v="0"/>
    <n v="0.77600000000000002"/>
    <n v="3"/>
    <x v="2"/>
  </r>
  <r>
    <s v="T3600"/>
    <s v="U3633"/>
    <n v="33100.28"/>
    <s v="Withdrawal"/>
    <s v="NetBanking"/>
    <s v="Android"/>
    <s v="Delhi"/>
    <n v="1545"/>
    <x v="5"/>
    <n v="1"/>
    <n v="3680.13"/>
    <n v="0"/>
    <n v="7.1999999999999995E-2"/>
    <n v="7"/>
    <x v="2"/>
  </r>
  <r>
    <s v="T3613"/>
    <s v="U3806"/>
    <n v="18758.68"/>
    <s v="Withdrawal"/>
    <s v="UPI"/>
    <s v="Android"/>
    <s v="Bangalore"/>
    <n v="547"/>
    <x v="12"/>
    <n v="3"/>
    <n v="1085.0899999999999"/>
    <n v="0"/>
    <n v="0.187"/>
    <n v="5"/>
    <x v="2"/>
  </r>
  <r>
    <s v="T3649"/>
    <s v="U5578"/>
    <n v="29865.69"/>
    <s v="Withdrawal"/>
    <s v="Wallet"/>
    <s v="iOS"/>
    <s v="Mumbai"/>
    <n v="1809"/>
    <x v="17"/>
    <n v="0"/>
    <n v="29110.03"/>
    <n v="0"/>
    <n v="0.59799999999999998"/>
    <n v="5"/>
    <x v="2"/>
  </r>
  <r>
    <s v="T3650"/>
    <s v="U5885"/>
    <n v="49977.91"/>
    <s v="Transfer"/>
    <s v="Card"/>
    <s v="Web"/>
    <s v="Mumbai"/>
    <n v="590"/>
    <x v="8"/>
    <n v="1"/>
    <n v="25319.55"/>
    <n v="0"/>
    <n v="0.32800000000000001"/>
    <n v="6"/>
    <x v="2"/>
  </r>
  <r>
    <s v="T3653"/>
    <s v="U1219"/>
    <n v="41386.269999999997"/>
    <s v="Transfer"/>
    <s v="Wallet"/>
    <s v="Android"/>
    <s v="Bangalore"/>
    <n v="1261"/>
    <x v="2"/>
    <n v="4"/>
    <n v="10087.780000000001"/>
    <n v="0"/>
    <n v="0.17"/>
    <n v="6"/>
    <x v="2"/>
  </r>
  <r>
    <s v="T3681"/>
    <s v="U2012"/>
    <n v="37550.94"/>
    <s v="Withdrawal"/>
    <s v="Wallet"/>
    <s v="iOS"/>
    <s v="Bangalore"/>
    <n v="477"/>
    <x v="6"/>
    <n v="2"/>
    <n v="8923.77"/>
    <n v="0"/>
    <n v="0.91400000000000003"/>
    <n v="3"/>
    <x v="2"/>
  </r>
  <r>
    <s v="T3694"/>
    <s v="U7060"/>
    <n v="11759.56"/>
    <s v="Payment"/>
    <s v="Card"/>
    <s v="Android"/>
    <s v="Chennai"/>
    <n v="1122"/>
    <x v="0"/>
    <n v="3"/>
    <n v="26498.880000000001"/>
    <n v="0"/>
    <n v="0.5"/>
    <n v="2"/>
    <x v="2"/>
  </r>
  <r>
    <s v="T3695"/>
    <s v="U9013"/>
    <n v="17286.93"/>
    <s v="Withdrawal"/>
    <s v="Card"/>
    <s v="iOS"/>
    <s v="Hyderabad"/>
    <n v="1036"/>
    <x v="10"/>
    <n v="1"/>
    <n v="25374.16"/>
    <n v="0"/>
    <n v="0.72399999999999998"/>
    <n v="7"/>
    <x v="2"/>
  </r>
  <r>
    <s v="T3702"/>
    <s v="U9912"/>
    <n v="33941.07"/>
    <s v="Payment"/>
    <s v="NetBanking"/>
    <s v="Android"/>
    <s v="Chennai"/>
    <n v="1104"/>
    <x v="19"/>
    <n v="1"/>
    <n v="29100.34"/>
    <n v="0"/>
    <n v="0.218"/>
    <n v="2"/>
    <x v="2"/>
  </r>
  <r>
    <s v="T3707"/>
    <s v="U6341"/>
    <n v="36966.400000000001"/>
    <s v="Payment"/>
    <s v="Wallet"/>
    <s v="Android"/>
    <s v="Chennai"/>
    <n v="1564"/>
    <x v="7"/>
    <n v="4"/>
    <n v="22361.08"/>
    <n v="0"/>
    <n v="0.39200000000000002"/>
    <n v="3"/>
    <x v="2"/>
  </r>
  <r>
    <s v="T3713"/>
    <s v="U1438"/>
    <n v="35327"/>
    <s v="Payment"/>
    <s v="Card"/>
    <s v="Android"/>
    <s v="Bangalore"/>
    <n v="1433"/>
    <x v="20"/>
    <n v="0"/>
    <n v="22149.74"/>
    <n v="0"/>
    <n v="0.40200000000000002"/>
    <n v="5"/>
    <x v="2"/>
  </r>
  <r>
    <s v="T3729"/>
    <s v="U5584"/>
    <n v="8181.41"/>
    <s v="Withdrawal"/>
    <s v="NetBanking"/>
    <s v="Web"/>
    <s v="Delhi"/>
    <n v="108"/>
    <x v="6"/>
    <n v="1"/>
    <n v="22397.35"/>
    <n v="0"/>
    <n v="0.38"/>
    <n v="4"/>
    <x v="2"/>
  </r>
  <r>
    <s v="T3746"/>
    <s v="U8888"/>
    <n v="10661.74"/>
    <s v="Withdrawal"/>
    <s v="NetBanking"/>
    <s v="iOS"/>
    <s v="Chennai"/>
    <n v="1562"/>
    <x v="23"/>
    <n v="0"/>
    <n v="22246.82"/>
    <n v="0"/>
    <n v="0.28100000000000003"/>
    <n v="2"/>
    <x v="2"/>
  </r>
  <r>
    <s v="T3751"/>
    <s v="U5163"/>
    <n v="44783.360000000001"/>
    <s v="Withdrawal"/>
    <s v="Card"/>
    <s v="Web"/>
    <s v="Mumbai"/>
    <n v="1972"/>
    <x v="0"/>
    <n v="4"/>
    <n v="3156.19"/>
    <n v="0"/>
    <n v="0.88200000000000001"/>
    <n v="7"/>
    <x v="2"/>
  </r>
  <r>
    <s v="T3753"/>
    <s v="U7155"/>
    <n v="15728.21"/>
    <s v="Transfer"/>
    <s v="NetBanking"/>
    <s v="Web"/>
    <s v="Bangalore"/>
    <n v="272"/>
    <x v="18"/>
    <n v="1"/>
    <n v="15164.68"/>
    <n v="1"/>
    <n v="0.85599999999999998"/>
    <n v="3"/>
    <x v="2"/>
  </r>
  <r>
    <s v="T3766"/>
    <s v="U3886"/>
    <n v="15032.11"/>
    <s v="Transfer"/>
    <s v="NetBanking"/>
    <s v="iOS"/>
    <s v="Mumbai"/>
    <n v="1024"/>
    <x v="20"/>
    <n v="2"/>
    <n v="534.42999999999995"/>
    <n v="0"/>
    <n v="0.754"/>
    <n v="5"/>
    <x v="2"/>
  </r>
  <r>
    <s v="T3799"/>
    <s v="U7154"/>
    <n v="8667.57"/>
    <s v="Transfer"/>
    <s v="UPI"/>
    <s v="Android"/>
    <s v="Mumbai"/>
    <n v="1640"/>
    <x v="3"/>
    <n v="3"/>
    <n v="3161.29"/>
    <n v="0"/>
    <n v="0.16600000000000001"/>
    <n v="4"/>
    <x v="2"/>
  </r>
  <r>
    <s v="T3811"/>
    <s v="U1778"/>
    <n v="34615.96"/>
    <s v="Withdrawal"/>
    <s v="Wallet"/>
    <s v="iOS"/>
    <s v="Hyderabad"/>
    <n v="955"/>
    <x v="20"/>
    <n v="3"/>
    <n v="1755.82"/>
    <n v="1"/>
    <n v="0.74"/>
    <n v="9"/>
    <x v="2"/>
  </r>
  <r>
    <s v="T3827"/>
    <s v="U9721"/>
    <n v="23361.32"/>
    <s v="Withdrawal"/>
    <s v="Wallet"/>
    <s v="Android"/>
    <s v="Chennai"/>
    <n v="192"/>
    <x v="12"/>
    <n v="0"/>
    <n v="17134.55"/>
    <n v="0"/>
    <n v="0"/>
    <n v="1"/>
    <x v="2"/>
  </r>
  <r>
    <s v="T3844"/>
    <s v="U3769"/>
    <n v="20417.02"/>
    <s v="Transfer"/>
    <s v="Card"/>
    <s v="iOS"/>
    <s v="Delhi"/>
    <n v="1251"/>
    <x v="22"/>
    <n v="1"/>
    <n v="5503.63"/>
    <n v="0"/>
    <n v="0.13100000000000001"/>
    <n v="5"/>
    <x v="2"/>
  </r>
  <r>
    <s v="T3883"/>
    <s v="U2932"/>
    <n v="47907.99"/>
    <s v="Transfer"/>
    <s v="Card"/>
    <s v="iOS"/>
    <s v="Mumbai"/>
    <n v="1845"/>
    <x v="23"/>
    <n v="4"/>
    <n v="16216.01"/>
    <n v="0"/>
    <n v="0.77900000000000003"/>
    <n v="5"/>
    <x v="2"/>
  </r>
  <r>
    <s v="T3905"/>
    <s v="U6595"/>
    <n v="42218.41"/>
    <s v="Withdrawal"/>
    <s v="UPI"/>
    <s v="Android"/>
    <s v="Hyderabad"/>
    <n v="380"/>
    <x v="18"/>
    <n v="4"/>
    <n v="23494.01"/>
    <n v="0"/>
    <n v="0.44400000000000001"/>
    <n v="7"/>
    <x v="2"/>
  </r>
  <r>
    <s v="T3912"/>
    <s v="U4557"/>
    <n v="13636.33"/>
    <s v="Transfer"/>
    <s v="NetBanking"/>
    <s v="Web"/>
    <s v="Hyderabad"/>
    <n v="834"/>
    <x v="22"/>
    <n v="3"/>
    <n v="5402.2"/>
    <n v="0"/>
    <n v="0.97"/>
    <n v="8"/>
    <x v="2"/>
  </r>
  <r>
    <s v="T3916"/>
    <s v="U4972"/>
    <n v="19788.009999999998"/>
    <s v="Payment"/>
    <s v="Wallet"/>
    <s v="Android"/>
    <s v="Chennai"/>
    <n v="1251"/>
    <x v="2"/>
    <n v="2"/>
    <n v="26973.24"/>
    <n v="0"/>
    <n v="0.86699999999999999"/>
    <n v="2"/>
    <x v="2"/>
  </r>
  <r>
    <s v="T3943"/>
    <s v="U6777"/>
    <n v="4252.18"/>
    <s v="Transfer"/>
    <s v="NetBanking"/>
    <s v="iOS"/>
    <s v="Delhi"/>
    <n v="158"/>
    <x v="20"/>
    <n v="4"/>
    <n v="596.49"/>
    <n v="0"/>
    <n v="0.91400000000000003"/>
    <n v="6"/>
    <x v="2"/>
  </r>
  <r>
    <s v="T3946"/>
    <s v="U8047"/>
    <n v="878.79"/>
    <s v="Payment"/>
    <s v="Wallet"/>
    <s v="Web"/>
    <s v="Mumbai"/>
    <n v="1656"/>
    <x v="16"/>
    <n v="0"/>
    <n v="28236.18"/>
    <n v="0"/>
    <n v="0.46899999999999997"/>
    <n v="5"/>
    <x v="2"/>
  </r>
  <r>
    <s v="T3947"/>
    <s v="U9111"/>
    <n v="33102.85"/>
    <s v="Withdrawal"/>
    <s v="Card"/>
    <s v="Web"/>
    <s v="Bangalore"/>
    <n v="1565"/>
    <x v="18"/>
    <n v="4"/>
    <n v="21554.54"/>
    <n v="0"/>
    <n v="0.109"/>
    <n v="6"/>
    <x v="2"/>
  </r>
  <r>
    <s v="T3992"/>
    <s v="U2786"/>
    <n v="10595.74"/>
    <s v="Withdrawal"/>
    <s v="Card"/>
    <s v="iOS"/>
    <s v="Mumbai"/>
    <n v="1063"/>
    <x v="2"/>
    <n v="0"/>
    <n v="11759.77"/>
    <n v="0"/>
    <n v="5.7000000000000002E-2"/>
    <n v="9"/>
    <x v="2"/>
  </r>
  <r>
    <s v="T4003"/>
    <s v="U4413"/>
    <n v="38020.04"/>
    <s v="Payment"/>
    <s v="Wallet"/>
    <s v="Web"/>
    <s v="Bangalore"/>
    <n v="329"/>
    <x v="1"/>
    <n v="3"/>
    <n v="19562.95"/>
    <n v="1"/>
    <n v="0.17599999999999999"/>
    <n v="3"/>
    <x v="2"/>
  </r>
  <r>
    <s v="T4034"/>
    <s v="U3037"/>
    <n v="49629.46"/>
    <s v="Payment"/>
    <s v="Card"/>
    <s v="Android"/>
    <s v="Bangalore"/>
    <n v="306"/>
    <x v="15"/>
    <n v="1"/>
    <n v="13955.26"/>
    <n v="0"/>
    <n v="0.42299999999999999"/>
    <n v="3"/>
    <x v="2"/>
  </r>
  <r>
    <s v="T4045"/>
    <s v="U1363"/>
    <n v="20588.96"/>
    <s v="Withdrawal"/>
    <s v="Wallet"/>
    <s v="Web"/>
    <s v="Chennai"/>
    <n v="1634"/>
    <x v="22"/>
    <n v="0"/>
    <n v="27646.5"/>
    <n v="0"/>
    <n v="0.184"/>
    <n v="9"/>
    <x v="2"/>
  </r>
  <r>
    <s v="T4056"/>
    <s v="U5290"/>
    <n v="859.21"/>
    <s v="Withdrawal"/>
    <s v="Card"/>
    <s v="iOS"/>
    <s v="Chennai"/>
    <n v="1733"/>
    <x v="8"/>
    <n v="4"/>
    <n v="7724.17"/>
    <n v="0"/>
    <n v="0.48599999999999999"/>
    <n v="6"/>
    <x v="2"/>
  </r>
  <r>
    <s v="T4069"/>
    <s v="U8848"/>
    <n v="33708.25"/>
    <s v="Withdrawal"/>
    <s v="Wallet"/>
    <s v="Web"/>
    <s v="Bangalore"/>
    <n v="972"/>
    <x v="13"/>
    <n v="1"/>
    <n v="10612.25"/>
    <n v="0"/>
    <n v="0.64500000000000002"/>
    <n v="4"/>
    <x v="2"/>
  </r>
  <r>
    <s v="T4135"/>
    <s v="U1297"/>
    <n v="29693.4"/>
    <s v="Withdrawal"/>
    <s v="Wallet"/>
    <s v="Android"/>
    <s v="Hyderabad"/>
    <n v="155"/>
    <x v="12"/>
    <n v="3"/>
    <n v="6574.39"/>
    <n v="0"/>
    <n v="0.20699999999999999"/>
    <n v="6"/>
    <x v="2"/>
  </r>
  <r>
    <s v="T4147"/>
    <s v="U9502"/>
    <n v="5216.53"/>
    <s v="Payment"/>
    <s v="UPI"/>
    <s v="iOS"/>
    <s v="Hyderabad"/>
    <n v="1339"/>
    <x v="15"/>
    <n v="0"/>
    <n v="15054.03"/>
    <n v="0"/>
    <n v="0.73099999999999998"/>
    <n v="2"/>
    <x v="2"/>
  </r>
  <r>
    <s v="T4150"/>
    <s v="U6003"/>
    <n v="39002.050000000003"/>
    <s v="Withdrawal"/>
    <s v="NetBanking"/>
    <s v="iOS"/>
    <s v="Mumbai"/>
    <n v="767"/>
    <x v="10"/>
    <n v="1"/>
    <n v="13434.34"/>
    <n v="1"/>
    <n v="0.58899999999999997"/>
    <n v="9"/>
    <x v="2"/>
  </r>
  <r>
    <s v="T4185"/>
    <s v="U3999"/>
    <n v="6703.84"/>
    <s v="Transfer"/>
    <s v="UPI"/>
    <s v="Web"/>
    <s v="Delhi"/>
    <n v="1145"/>
    <x v="16"/>
    <n v="4"/>
    <n v="2570.66"/>
    <n v="0"/>
    <n v="0.74399999999999999"/>
    <n v="2"/>
    <x v="2"/>
  </r>
  <r>
    <s v="T4195"/>
    <s v="U5951"/>
    <n v="30977.68"/>
    <s v="Payment"/>
    <s v="Card"/>
    <s v="iOS"/>
    <s v="Hyderabad"/>
    <n v="1328"/>
    <x v="11"/>
    <n v="1"/>
    <n v="20685.28"/>
    <n v="0"/>
    <n v="8.0000000000000002E-3"/>
    <n v="4"/>
    <x v="2"/>
  </r>
  <r>
    <s v="T4209"/>
    <s v="U4252"/>
    <n v="4347.3100000000004"/>
    <s v="Withdrawal"/>
    <s v="Wallet"/>
    <s v="Web"/>
    <s v="Hyderabad"/>
    <n v="933"/>
    <x v="5"/>
    <n v="2"/>
    <n v="18512.57"/>
    <n v="0"/>
    <n v="0.95899999999999996"/>
    <n v="7"/>
    <x v="2"/>
  </r>
  <r>
    <s v="T4233"/>
    <s v="U9402"/>
    <n v="17963.150000000001"/>
    <s v="Payment"/>
    <s v="Card"/>
    <s v="Android"/>
    <s v="Mumbai"/>
    <n v="747"/>
    <x v="12"/>
    <n v="3"/>
    <n v="14903.56"/>
    <n v="0"/>
    <n v="0.245"/>
    <n v="7"/>
    <x v="2"/>
  </r>
  <r>
    <s v="T4253"/>
    <s v="U8918"/>
    <n v="16998.3"/>
    <s v="Payment"/>
    <s v="NetBanking"/>
    <s v="iOS"/>
    <s v="Mumbai"/>
    <n v="206"/>
    <x v="15"/>
    <n v="4"/>
    <n v="5458.22"/>
    <n v="0"/>
    <n v="1.2E-2"/>
    <n v="7"/>
    <x v="2"/>
  </r>
  <r>
    <s v="T4282"/>
    <s v="U3462"/>
    <n v="36731.57"/>
    <s v="Payment"/>
    <s v="Card"/>
    <s v="Web"/>
    <s v="Hyderabad"/>
    <n v="188"/>
    <x v="14"/>
    <n v="4"/>
    <n v="15779.77"/>
    <n v="0"/>
    <n v="0.39600000000000002"/>
    <n v="1"/>
    <x v="2"/>
  </r>
  <r>
    <s v="T4285"/>
    <s v="U1390"/>
    <n v="27640.69"/>
    <s v="Withdrawal"/>
    <s v="Card"/>
    <s v="Web"/>
    <s v="Mumbai"/>
    <n v="941"/>
    <x v="9"/>
    <n v="3"/>
    <n v="21009.89"/>
    <n v="0"/>
    <n v="0.13600000000000001"/>
    <n v="4"/>
    <x v="2"/>
  </r>
  <r>
    <s v="T4287"/>
    <s v="U5082"/>
    <n v="43602.06"/>
    <s v="Payment"/>
    <s v="Card"/>
    <s v="iOS"/>
    <s v="Mumbai"/>
    <n v="1698"/>
    <x v="1"/>
    <n v="2"/>
    <n v="16394.419999999998"/>
    <n v="0"/>
    <n v="0.316"/>
    <n v="3"/>
    <x v="2"/>
  </r>
  <r>
    <s v="T4292"/>
    <s v="U8652"/>
    <n v="4010.05"/>
    <s v="Withdrawal"/>
    <s v="UPI"/>
    <s v="Web"/>
    <s v="Hyderabad"/>
    <n v="1610"/>
    <x v="2"/>
    <n v="1"/>
    <n v="3228"/>
    <n v="0"/>
    <n v="0.16300000000000001"/>
    <n v="9"/>
    <x v="2"/>
  </r>
  <r>
    <s v="T4294"/>
    <s v="U5268"/>
    <n v="45405.53"/>
    <s v="Payment"/>
    <s v="Card"/>
    <s v="Web"/>
    <s v="Hyderabad"/>
    <n v="1069"/>
    <x v="3"/>
    <n v="4"/>
    <n v="15421.84"/>
    <n v="0"/>
    <n v="0.79"/>
    <n v="5"/>
    <x v="2"/>
  </r>
  <r>
    <s v="T4301"/>
    <s v="U8060"/>
    <n v="4076.74"/>
    <s v="Transfer"/>
    <s v="NetBanking"/>
    <s v="iOS"/>
    <s v="Chennai"/>
    <n v="1380"/>
    <x v="0"/>
    <n v="4"/>
    <n v="25511.63"/>
    <n v="0"/>
    <n v="0.76700000000000002"/>
    <n v="7"/>
    <x v="2"/>
  </r>
  <r>
    <s v="T4306"/>
    <s v="U6066"/>
    <n v="4055.33"/>
    <s v="Transfer"/>
    <s v="Card"/>
    <s v="iOS"/>
    <s v="Delhi"/>
    <n v="756"/>
    <x v="5"/>
    <n v="3"/>
    <n v="21933.19"/>
    <n v="0"/>
    <n v="0.68400000000000005"/>
    <n v="4"/>
    <x v="2"/>
  </r>
  <r>
    <s v="T4309"/>
    <s v="U5040"/>
    <n v="41441.21"/>
    <s v="Withdrawal"/>
    <s v="Card"/>
    <s v="Android"/>
    <s v="Chennai"/>
    <n v="840"/>
    <x v="9"/>
    <n v="4"/>
    <n v="18967.439999999999"/>
    <n v="0"/>
    <n v="0.68600000000000005"/>
    <n v="1"/>
    <x v="2"/>
  </r>
  <r>
    <s v="T4310"/>
    <s v="U4849"/>
    <n v="39184.300000000003"/>
    <s v="Payment"/>
    <s v="UPI"/>
    <s v="Web"/>
    <s v="Bangalore"/>
    <n v="767"/>
    <x v="8"/>
    <n v="4"/>
    <n v="12253.21"/>
    <n v="0"/>
    <n v="0.79900000000000004"/>
    <n v="6"/>
    <x v="2"/>
  </r>
  <r>
    <s v="T4337"/>
    <s v="U2739"/>
    <n v="29993.08"/>
    <s v="Transfer"/>
    <s v="Card"/>
    <s v="Android"/>
    <s v="Mumbai"/>
    <n v="1964"/>
    <x v="8"/>
    <n v="0"/>
    <n v="21533.14"/>
    <n v="0"/>
    <n v="0.99099999999999999"/>
    <n v="2"/>
    <x v="2"/>
  </r>
  <r>
    <s v="T4348"/>
    <s v="U2283"/>
    <n v="27756.62"/>
    <s v="Withdrawal"/>
    <s v="Card"/>
    <s v="iOS"/>
    <s v="Bangalore"/>
    <n v="1393"/>
    <x v="22"/>
    <n v="1"/>
    <n v="5363.83"/>
    <n v="0"/>
    <n v="0.41199999999999998"/>
    <n v="7"/>
    <x v="2"/>
  </r>
  <r>
    <s v="T4357"/>
    <s v="U5647"/>
    <n v="11063.36"/>
    <s v="Transfer"/>
    <s v="UPI"/>
    <s v="iOS"/>
    <s v="Bangalore"/>
    <n v="1909"/>
    <x v="0"/>
    <n v="2"/>
    <n v="20657.84"/>
    <n v="0"/>
    <n v="0.21199999999999999"/>
    <n v="1"/>
    <x v="2"/>
  </r>
  <r>
    <s v="T4360"/>
    <s v="U9509"/>
    <n v="9282.68"/>
    <s v="Withdrawal"/>
    <s v="UPI"/>
    <s v="Web"/>
    <s v="Bangalore"/>
    <n v="974"/>
    <x v="1"/>
    <n v="0"/>
    <n v="17357.47"/>
    <n v="0"/>
    <n v="0.33600000000000002"/>
    <n v="6"/>
    <x v="2"/>
  </r>
  <r>
    <s v="T4364"/>
    <s v="U9110"/>
    <n v="26193.9"/>
    <s v="Transfer"/>
    <s v="Wallet"/>
    <s v="Web"/>
    <s v="Delhi"/>
    <n v="1260"/>
    <x v="8"/>
    <n v="3"/>
    <n v="4580.74"/>
    <n v="0"/>
    <n v="0.65800000000000003"/>
    <n v="1"/>
    <x v="2"/>
  </r>
  <r>
    <s v="T4366"/>
    <s v="U4285"/>
    <n v="33342.769999999997"/>
    <s v="Withdrawal"/>
    <s v="Card"/>
    <s v="iOS"/>
    <s v="Hyderabad"/>
    <n v="1801"/>
    <x v="15"/>
    <n v="3"/>
    <n v="4146.8100000000004"/>
    <n v="0"/>
    <n v="0.86299999999999999"/>
    <n v="1"/>
    <x v="2"/>
  </r>
  <r>
    <s v="T4406"/>
    <s v="U2541"/>
    <n v="34231.5"/>
    <s v="Transfer"/>
    <s v="UPI"/>
    <s v="Android"/>
    <s v="Bangalore"/>
    <n v="502"/>
    <x v="21"/>
    <n v="1"/>
    <n v="25020.16"/>
    <n v="0"/>
    <n v="0.45200000000000001"/>
    <n v="7"/>
    <x v="2"/>
  </r>
  <r>
    <s v="T4411"/>
    <s v="U5766"/>
    <n v="3884.07"/>
    <s v="Transfer"/>
    <s v="UPI"/>
    <s v="iOS"/>
    <s v="Bangalore"/>
    <n v="1890"/>
    <x v="8"/>
    <n v="4"/>
    <n v="8043.09"/>
    <n v="0"/>
    <n v="0.95899999999999996"/>
    <n v="7"/>
    <x v="2"/>
  </r>
  <r>
    <s v="T4414"/>
    <s v="U8401"/>
    <n v="32108.880000000001"/>
    <s v="Payment"/>
    <s v="Wallet"/>
    <s v="iOS"/>
    <s v="Mumbai"/>
    <n v="1200"/>
    <x v="10"/>
    <n v="1"/>
    <n v="17961.71"/>
    <n v="0"/>
    <n v="0.46400000000000002"/>
    <n v="8"/>
    <x v="2"/>
  </r>
  <r>
    <s v="T4419"/>
    <s v="U2233"/>
    <n v="16801.810000000001"/>
    <s v="Withdrawal"/>
    <s v="NetBanking"/>
    <s v="Web"/>
    <s v="Mumbai"/>
    <n v="1565"/>
    <x v="8"/>
    <n v="1"/>
    <n v="10045.129999999999"/>
    <n v="0"/>
    <n v="0.26"/>
    <n v="7"/>
    <x v="2"/>
  </r>
  <r>
    <s v="T4427"/>
    <s v="U1324"/>
    <n v="11884.35"/>
    <s v="Transfer"/>
    <s v="UPI"/>
    <s v="iOS"/>
    <s v="Bangalore"/>
    <n v="1474"/>
    <x v="22"/>
    <n v="0"/>
    <n v="19093.46"/>
    <n v="0"/>
    <n v="0.36199999999999999"/>
    <n v="6"/>
    <x v="2"/>
  </r>
  <r>
    <s v="T4444"/>
    <s v="U2572"/>
    <n v="19996.66"/>
    <s v="Transfer"/>
    <s v="NetBanking"/>
    <s v="Android"/>
    <s v="Hyderabad"/>
    <n v="1389"/>
    <x v="12"/>
    <n v="2"/>
    <n v="16236.69"/>
    <n v="0"/>
    <n v="0.27900000000000003"/>
    <n v="9"/>
    <x v="2"/>
  </r>
  <r>
    <s v="T4448"/>
    <s v="U4666"/>
    <n v="39967.94"/>
    <s v="Withdrawal"/>
    <s v="Card"/>
    <s v="Web"/>
    <s v="Hyderabad"/>
    <n v="1583"/>
    <x v="9"/>
    <n v="3"/>
    <n v="14138.14"/>
    <n v="0"/>
    <n v="0.46600000000000003"/>
    <n v="7"/>
    <x v="2"/>
  </r>
  <r>
    <s v="T4469"/>
    <s v="U3775"/>
    <n v="47466.19"/>
    <s v="Payment"/>
    <s v="Card"/>
    <s v="Android"/>
    <s v="Hyderabad"/>
    <n v="1164"/>
    <x v="2"/>
    <n v="2"/>
    <n v="15341.51"/>
    <n v="0"/>
    <n v="0.87"/>
    <n v="3"/>
    <x v="2"/>
  </r>
  <r>
    <s v="T4488"/>
    <s v="U9591"/>
    <n v="17773.849999999999"/>
    <s v="Transfer"/>
    <s v="Card"/>
    <s v="Android"/>
    <s v="Mumbai"/>
    <n v="539"/>
    <x v="15"/>
    <n v="1"/>
    <n v="18143.349999999999"/>
    <n v="0"/>
    <n v="0.16500000000000001"/>
    <n v="1"/>
    <x v="2"/>
  </r>
  <r>
    <s v="T4501"/>
    <s v="U4454"/>
    <n v="29985"/>
    <s v="Transfer"/>
    <s v="UPI"/>
    <s v="Web"/>
    <s v="Bangalore"/>
    <n v="485"/>
    <x v="23"/>
    <n v="4"/>
    <n v="14820.75"/>
    <n v="0"/>
    <n v="0.70299999999999996"/>
    <n v="7"/>
    <x v="2"/>
  </r>
  <r>
    <s v="T4524"/>
    <s v="U3714"/>
    <n v="29867.41"/>
    <s v="Transfer"/>
    <s v="UPI"/>
    <s v="Android"/>
    <s v="Hyderabad"/>
    <n v="1108"/>
    <x v="22"/>
    <n v="0"/>
    <n v="9750.33"/>
    <n v="0"/>
    <n v="0.98899999999999999"/>
    <n v="5"/>
    <x v="2"/>
  </r>
  <r>
    <s v="T4540"/>
    <s v="U3440"/>
    <n v="4435.0200000000004"/>
    <s v="Payment"/>
    <s v="Wallet"/>
    <s v="iOS"/>
    <s v="Chennai"/>
    <n v="1200"/>
    <x v="4"/>
    <n v="1"/>
    <n v="28988.9"/>
    <n v="0"/>
    <n v="0.186"/>
    <n v="1"/>
    <x v="2"/>
  </r>
  <r>
    <s v="T4544"/>
    <s v="U6855"/>
    <n v="14200.06"/>
    <s v="Withdrawal"/>
    <s v="Wallet"/>
    <s v="Android"/>
    <s v="Mumbai"/>
    <n v="1675"/>
    <x v="4"/>
    <n v="0"/>
    <n v="14421"/>
    <n v="1"/>
    <n v="0.94799999999999995"/>
    <n v="8"/>
    <x v="2"/>
  </r>
  <r>
    <s v="T4558"/>
    <s v="U1801"/>
    <n v="33969.379999999997"/>
    <s v="Transfer"/>
    <s v="Card"/>
    <s v="iOS"/>
    <s v="Delhi"/>
    <n v="70"/>
    <x v="18"/>
    <n v="0"/>
    <n v="16433.63"/>
    <n v="0"/>
    <n v="0.23499999999999999"/>
    <n v="2"/>
    <x v="2"/>
  </r>
  <r>
    <s v="T4559"/>
    <s v="U9228"/>
    <n v="46590.43"/>
    <s v="Transfer"/>
    <s v="Wallet"/>
    <s v="Android"/>
    <s v="Bangalore"/>
    <n v="1242"/>
    <x v="16"/>
    <n v="0"/>
    <n v="10786.47"/>
    <n v="0"/>
    <n v="0.74199999999999999"/>
    <n v="1"/>
    <x v="2"/>
  </r>
  <r>
    <s v="T4576"/>
    <s v="U1840"/>
    <n v="15664.27"/>
    <s v="Transfer"/>
    <s v="Wallet"/>
    <s v="Android"/>
    <s v="Bangalore"/>
    <n v="1924"/>
    <x v="2"/>
    <n v="0"/>
    <n v="26564.83"/>
    <n v="0"/>
    <n v="0.95699999999999996"/>
    <n v="5"/>
    <x v="2"/>
  </r>
  <r>
    <s v="T4584"/>
    <s v="U4757"/>
    <n v="38304.639999999999"/>
    <s v="Transfer"/>
    <s v="NetBanking"/>
    <s v="Web"/>
    <s v="Hyderabad"/>
    <n v="1913"/>
    <x v="17"/>
    <n v="0"/>
    <n v="12594.08"/>
    <n v="0"/>
    <n v="0.33100000000000002"/>
    <n v="8"/>
    <x v="2"/>
  </r>
  <r>
    <s v="T4589"/>
    <s v="U1234"/>
    <n v="33601.86"/>
    <s v="Payment"/>
    <s v="NetBanking"/>
    <s v="Android"/>
    <s v="Chennai"/>
    <n v="1071"/>
    <x v="7"/>
    <n v="3"/>
    <n v="23016.61"/>
    <n v="0"/>
    <n v="0.94899999999999995"/>
    <n v="5"/>
    <x v="2"/>
  </r>
  <r>
    <s v="T4646"/>
    <s v="U1073"/>
    <n v="37111.79"/>
    <s v="Payment"/>
    <s v="Wallet"/>
    <s v="Web"/>
    <s v="Mumbai"/>
    <n v="835"/>
    <x v="2"/>
    <n v="0"/>
    <n v="26774.69"/>
    <n v="0"/>
    <n v="0.20200000000000001"/>
    <n v="6"/>
    <x v="2"/>
  </r>
  <r>
    <s v="T4667"/>
    <s v="U9403"/>
    <n v="5314.8"/>
    <s v="Withdrawal"/>
    <s v="NetBanking"/>
    <s v="iOS"/>
    <s v="Hyderabad"/>
    <n v="447"/>
    <x v="16"/>
    <n v="1"/>
    <n v="16531.54"/>
    <n v="0"/>
    <n v="0.435"/>
    <n v="4"/>
    <x v="2"/>
  </r>
  <r>
    <s v="T4684"/>
    <s v="U7853"/>
    <n v="14948.71"/>
    <s v="Transfer"/>
    <s v="NetBanking"/>
    <s v="iOS"/>
    <s v="Hyderabad"/>
    <n v="578"/>
    <x v="10"/>
    <n v="0"/>
    <n v="3159.42"/>
    <n v="1"/>
    <n v="0.65"/>
    <n v="9"/>
    <x v="2"/>
  </r>
  <r>
    <s v="T4704"/>
    <s v="U4243"/>
    <n v="29788.55"/>
    <s v="Payment"/>
    <s v="NetBanking"/>
    <s v="Web"/>
    <s v="Delhi"/>
    <n v="840"/>
    <x v="9"/>
    <n v="3"/>
    <n v="27768.03"/>
    <n v="0"/>
    <n v="0.85199999999999998"/>
    <n v="6"/>
    <x v="2"/>
  </r>
  <r>
    <s v="T4722"/>
    <s v="U1095"/>
    <n v="2783.9"/>
    <s v="Transfer"/>
    <s v="Wallet"/>
    <s v="Android"/>
    <s v="Bangalore"/>
    <n v="212"/>
    <x v="15"/>
    <n v="2"/>
    <n v="20400.23"/>
    <n v="1"/>
    <n v="0.70399999999999996"/>
    <n v="7"/>
    <x v="2"/>
  </r>
  <r>
    <s v="T4746"/>
    <s v="U8806"/>
    <n v="2738.83"/>
    <s v="Transfer"/>
    <s v="NetBanking"/>
    <s v="Android"/>
    <s v="Chennai"/>
    <n v="396"/>
    <x v="14"/>
    <n v="0"/>
    <n v="27037.46"/>
    <n v="0"/>
    <n v="0.308"/>
    <n v="9"/>
    <x v="2"/>
  </r>
  <r>
    <s v="T4748"/>
    <s v="U1758"/>
    <n v="1995.94"/>
    <s v="Payment"/>
    <s v="UPI"/>
    <s v="Android"/>
    <s v="Bangalore"/>
    <n v="1055"/>
    <x v="9"/>
    <n v="1"/>
    <n v="16734.099999999999"/>
    <n v="0"/>
    <n v="3.2000000000000001E-2"/>
    <n v="8"/>
    <x v="2"/>
  </r>
  <r>
    <s v="T4759"/>
    <s v="U5520"/>
    <n v="23063.64"/>
    <s v="Payment"/>
    <s v="UPI"/>
    <s v="Web"/>
    <s v="Mumbai"/>
    <n v="801"/>
    <x v="22"/>
    <n v="4"/>
    <n v="2165.19"/>
    <n v="0"/>
    <n v="0.99"/>
    <n v="5"/>
    <x v="2"/>
  </r>
  <r>
    <s v="T4768"/>
    <s v="U9588"/>
    <n v="4913.4799999999996"/>
    <s v="Payment"/>
    <s v="Wallet"/>
    <s v="Android"/>
    <s v="Delhi"/>
    <n v="696"/>
    <x v="19"/>
    <n v="1"/>
    <n v="28547.759999999998"/>
    <n v="0"/>
    <n v="0.29299999999999998"/>
    <n v="8"/>
    <x v="2"/>
  </r>
  <r>
    <s v="T4833"/>
    <s v="U8774"/>
    <n v="32294.44"/>
    <s v="Payment"/>
    <s v="NetBanking"/>
    <s v="Web"/>
    <s v="Delhi"/>
    <n v="1463"/>
    <x v="7"/>
    <n v="1"/>
    <n v="25617.69"/>
    <n v="0"/>
    <n v="0.5"/>
    <n v="4"/>
    <x v="2"/>
  </r>
  <r>
    <s v="T4834"/>
    <s v="U4971"/>
    <n v="7830.87"/>
    <s v="Payment"/>
    <s v="Card"/>
    <s v="Web"/>
    <s v="Mumbai"/>
    <n v="10"/>
    <x v="22"/>
    <n v="2"/>
    <n v="25872.36"/>
    <n v="0"/>
    <n v="0.84499999999999997"/>
    <n v="6"/>
    <x v="2"/>
  </r>
  <r>
    <s v="T4848"/>
    <s v="U9095"/>
    <n v="7102.89"/>
    <s v="Payment"/>
    <s v="UPI"/>
    <s v="Web"/>
    <s v="Hyderabad"/>
    <n v="1791"/>
    <x v="19"/>
    <n v="2"/>
    <n v="19594.75"/>
    <n v="0"/>
    <n v="0.96799999999999997"/>
    <n v="7"/>
    <x v="2"/>
  </r>
  <r>
    <s v="T4857"/>
    <s v="U6857"/>
    <n v="7343.75"/>
    <s v="Transfer"/>
    <s v="Wallet"/>
    <s v="iOS"/>
    <s v="Bangalore"/>
    <n v="1139"/>
    <x v="4"/>
    <n v="4"/>
    <n v="15010.17"/>
    <n v="1"/>
    <n v="0.46400000000000002"/>
    <n v="2"/>
    <x v="2"/>
  </r>
  <r>
    <s v="T4879"/>
    <s v="U6408"/>
    <n v="18156.97"/>
    <s v="Payment"/>
    <s v="Wallet"/>
    <s v="iOS"/>
    <s v="Chennai"/>
    <n v="1979"/>
    <x v="6"/>
    <n v="1"/>
    <n v="13362.05"/>
    <n v="0"/>
    <n v="0.1"/>
    <n v="5"/>
    <x v="2"/>
  </r>
  <r>
    <s v="T4880"/>
    <s v="U3004"/>
    <n v="41208.68"/>
    <s v="Payment"/>
    <s v="UPI"/>
    <s v="Android"/>
    <s v="Mumbai"/>
    <n v="1223"/>
    <x v="20"/>
    <n v="2"/>
    <n v="7067.9"/>
    <n v="1"/>
    <n v="0.54800000000000004"/>
    <n v="5"/>
    <x v="2"/>
  </r>
  <r>
    <s v="T4892"/>
    <s v="U9835"/>
    <n v="2834.26"/>
    <s v="Payment"/>
    <s v="NetBanking"/>
    <s v="iOS"/>
    <s v="Mumbai"/>
    <n v="800"/>
    <x v="10"/>
    <n v="3"/>
    <n v="22202.58"/>
    <n v="0"/>
    <n v="0.82699999999999996"/>
    <n v="3"/>
    <x v="2"/>
  </r>
  <r>
    <s v="T4902"/>
    <s v="U5232"/>
    <n v="24218.82"/>
    <s v="Transfer"/>
    <s v="Card"/>
    <s v="iOS"/>
    <s v="Delhi"/>
    <n v="358"/>
    <x v="20"/>
    <n v="0"/>
    <n v="20650.79"/>
    <n v="0"/>
    <n v="0.98599999999999999"/>
    <n v="9"/>
    <x v="2"/>
  </r>
  <r>
    <s v="T4940"/>
    <s v="U1669"/>
    <n v="40599.75"/>
    <s v="Withdrawal"/>
    <s v="NetBanking"/>
    <s v="Android"/>
    <s v="Chennai"/>
    <n v="1549"/>
    <x v="8"/>
    <n v="3"/>
    <n v="13439.35"/>
    <n v="0"/>
    <n v="0.75800000000000001"/>
    <n v="3"/>
    <x v="2"/>
  </r>
  <r>
    <s v="T4946"/>
    <s v="U3702"/>
    <n v="47052.57"/>
    <s v="Transfer"/>
    <s v="NetBanking"/>
    <s v="Web"/>
    <s v="Hyderabad"/>
    <n v="963"/>
    <x v="20"/>
    <n v="4"/>
    <n v="5634.56"/>
    <n v="0"/>
    <n v="0.44600000000000001"/>
    <n v="3"/>
    <x v="2"/>
  </r>
  <r>
    <s v="T4970"/>
    <s v="U9068"/>
    <n v="21383.9"/>
    <s v="Transfer"/>
    <s v="Wallet"/>
    <s v="Android"/>
    <s v="Hyderabad"/>
    <n v="1421"/>
    <x v="19"/>
    <n v="4"/>
    <n v="27657.200000000001"/>
    <n v="0"/>
    <n v="0.79800000000000004"/>
    <n v="3"/>
    <x v="2"/>
  </r>
  <r>
    <s v="T4990"/>
    <s v="U6274"/>
    <n v="38498.839999999997"/>
    <s v="Payment"/>
    <s v="UPI"/>
    <s v="Web"/>
    <s v="Hyderabad"/>
    <n v="607"/>
    <x v="2"/>
    <n v="2"/>
    <n v="13428.22"/>
    <n v="0"/>
    <n v="0.16800000000000001"/>
    <n v="7"/>
    <x v="2"/>
  </r>
  <r>
    <s v="T4997"/>
    <s v="U1672"/>
    <n v="6013.08"/>
    <s v="Payment"/>
    <s v="UPI"/>
    <s v="iOS"/>
    <s v="Chennai"/>
    <n v="1456"/>
    <x v="8"/>
    <n v="1"/>
    <n v="7844.45"/>
    <n v="0"/>
    <n v="0.32200000000000001"/>
    <n v="8"/>
    <x v="2"/>
  </r>
  <r>
    <s v="T5013"/>
    <s v="U9037"/>
    <n v="26790.62"/>
    <s v="Transfer"/>
    <s v="Card"/>
    <s v="iOS"/>
    <s v="Chennai"/>
    <n v="512"/>
    <x v="20"/>
    <n v="4"/>
    <n v="4199.3599999999997"/>
    <n v="0"/>
    <n v="0.375"/>
    <n v="1"/>
    <x v="2"/>
  </r>
  <r>
    <s v="T5017"/>
    <s v="U6212"/>
    <n v="2122.79"/>
    <s v="Transfer"/>
    <s v="Card"/>
    <s v="iOS"/>
    <s v="Hyderabad"/>
    <n v="171"/>
    <x v="22"/>
    <n v="4"/>
    <n v="12971.24"/>
    <n v="0"/>
    <n v="3.6999999999999998E-2"/>
    <n v="7"/>
    <x v="2"/>
  </r>
  <r>
    <s v="T5045"/>
    <s v="U7201"/>
    <n v="31187.81"/>
    <s v="Withdrawal"/>
    <s v="Card"/>
    <s v="iOS"/>
    <s v="Delhi"/>
    <n v="1245"/>
    <x v="10"/>
    <n v="1"/>
    <n v="29600.27"/>
    <n v="0"/>
    <n v="0.71799999999999997"/>
    <n v="9"/>
    <x v="2"/>
  </r>
  <r>
    <s v="T5048"/>
    <s v="U7927"/>
    <n v="26456.400000000001"/>
    <s v="Withdrawal"/>
    <s v="Wallet"/>
    <s v="iOS"/>
    <s v="Chennai"/>
    <n v="751"/>
    <x v="21"/>
    <n v="4"/>
    <n v="6433.12"/>
    <n v="0"/>
    <n v="0.153"/>
    <n v="8"/>
    <x v="2"/>
  </r>
  <r>
    <s v="T5059"/>
    <s v="U8135"/>
    <n v="27930.65"/>
    <s v="Payment"/>
    <s v="NetBanking"/>
    <s v="iOS"/>
    <s v="Bangalore"/>
    <n v="1548"/>
    <x v="16"/>
    <n v="2"/>
    <n v="13471.02"/>
    <n v="0"/>
    <n v="3.4000000000000002E-2"/>
    <n v="2"/>
    <x v="2"/>
  </r>
  <r>
    <s v="T5076"/>
    <s v="U9775"/>
    <n v="25924.62"/>
    <s v="Withdrawal"/>
    <s v="Card"/>
    <s v="Android"/>
    <s v="Hyderabad"/>
    <n v="1776"/>
    <x v="23"/>
    <n v="3"/>
    <n v="29670.06"/>
    <n v="0"/>
    <n v="0.20899999999999999"/>
    <n v="2"/>
    <x v="2"/>
  </r>
  <r>
    <s v="T5079"/>
    <s v="U2471"/>
    <n v="24200.73"/>
    <s v="Transfer"/>
    <s v="UPI"/>
    <s v="Android"/>
    <s v="Hyderabad"/>
    <n v="492"/>
    <x v="13"/>
    <n v="4"/>
    <n v="4564.66"/>
    <n v="0"/>
    <n v="0.54"/>
    <n v="2"/>
    <x v="2"/>
  </r>
  <r>
    <s v="T5091"/>
    <s v="U8616"/>
    <n v="1871.23"/>
    <s v="Payment"/>
    <s v="NetBanking"/>
    <s v="iOS"/>
    <s v="Mumbai"/>
    <n v="1719"/>
    <x v="10"/>
    <n v="4"/>
    <n v="1748.72"/>
    <n v="0"/>
    <n v="0.25"/>
    <n v="5"/>
    <x v="2"/>
  </r>
  <r>
    <s v="T5116"/>
    <s v="U4839"/>
    <n v="31556.98"/>
    <s v="Withdrawal"/>
    <s v="Card"/>
    <s v="iOS"/>
    <s v="Delhi"/>
    <n v="1375"/>
    <x v="8"/>
    <n v="0"/>
    <n v="5622.16"/>
    <n v="0"/>
    <n v="0.83699999999999997"/>
    <n v="7"/>
    <x v="2"/>
  </r>
  <r>
    <s v="T5123"/>
    <s v="U1918"/>
    <n v="2858.4"/>
    <s v="Payment"/>
    <s v="Wallet"/>
    <s v="iOS"/>
    <s v="Delhi"/>
    <n v="1255"/>
    <x v="5"/>
    <n v="1"/>
    <n v="14927.53"/>
    <n v="0"/>
    <n v="0.84299999999999997"/>
    <n v="3"/>
    <x v="2"/>
  </r>
  <r>
    <s v="T5136"/>
    <s v="U5201"/>
    <n v="18880.46"/>
    <s v="Withdrawal"/>
    <s v="Wallet"/>
    <s v="iOS"/>
    <s v="Hyderabad"/>
    <n v="1453"/>
    <x v="4"/>
    <n v="2"/>
    <n v="26553.78"/>
    <n v="0"/>
    <n v="0.434"/>
    <n v="9"/>
    <x v="2"/>
  </r>
  <r>
    <s v="T5154"/>
    <s v="U6701"/>
    <n v="38031.980000000003"/>
    <s v="Transfer"/>
    <s v="UPI"/>
    <s v="Web"/>
    <s v="Bangalore"/>
    <n v="39"/>
    <x v="18"/>
    <n v="1"/>
    <n v="2748.66"/>
    <n v="0"/>
    <n v="0.43"/>
    <n v="6"/>
    <x v="2"/>
  </r>
  <r>
    <s v="T5166"/>
    <s v="U6227"/>
    <n v="49233.49"/>
    <s v="Withdrawal"/>
    <s v="Card"/>
    <s v="Android"/>
    <s v="Delhi"/>
    <n v="128"/>
    <x v="16"/>
    <n v="3"/>
    <n v="1475.81"/>
    <n v="0"/>
    <n v="0.28199999999999997"/>
    <n v="3"/>
    <x v="2"/>
  </r>
  <r>
    <s v="T5174"/>
    <s v="U1211"/>
    <n v="1769.84"/>
    <s v="Payment"/>
    <s v="Card"/>
    <s v="iOS"/>
    <s v="Bangalore"/>
    <n v="721"/>
    <x v="23"/>
    <n v="3"/>
    <n v="3209.91"/>
    <n v="0"/>
    <n v="0.45700000000000002"/>
    <n v="6"/>
    <x v="2"/>
  </r>
  <r>
    <s v="T5178"/>
    <s v="U6605"/>
    <n v="4380.99"/>
    <s v="Withdrawal"/>
    <s v="UPI"/>
    <s v="Android"/>
    <s v="Delhi"/>
    <n v="270"/>
    <x v="22"/>
    <n v="1"/>
    <n v="10677.55"/>
    <n v="0"/>
    <n v="0.72199999999999998"/>
    <n v="2"/>
    <x v="2"/>
  </r>
  <r>
    <s v="T5188"/>
    <s v="U3341"/>
    <n v="18202.03"/>
    <s v="Transfer"/>
    <s v="Card"/>
    <s v="Android"/>
    <s v="Chennai"/>
    <n v="1181"/>
    <x v="5"/>
    <n v="4"/>
    <n v="16603.25"/>
    <n v="0"/>
    <n v="0.46700000000000003"/>
    <n v="9"/>
    <x v="2"/>
  </r>
  <r>
    <s v="T5272"/>
    <s v="U3902"/>
    <n v="6497.11"/>
    <s v="Transfer"/>
    <s v="Card"/>
    <s v="Android"/>
    <s v="Chennai"/>
    <n v="1535"/>
    <x v="9"/>
    <n v="3"/>
    <n v="4158"/>
    <n v="0"/>
    <n v="0.92300000000000004"/>
    <n v="7"/>
    <x v="2"/>
  </r>
  <r>
    <s v="T5275"/>
    <s v="U3868"/>
    <n v="23607.74"/>
    <s v="Transfer"/>
    <s v="Wallet"/>
    <s v="Android"/>
    <s v="Chennai"/>
    <n v="424"/>
    <x v="0"/>
    <n v="2"/>
    <n v="7833.37"/>
    <n v="1"/>
    <n v="0.92600000000000005"/>
    <n v="9"/>
    <x v="2"/>
  </r>
  <r>
    <s v="T5276"/>
    <s v="U2435"/>
    <n v="11412.71"/>
    <s v="Transfer"/>
    <s v="UPI"/>
    <s v="Android"/>
    <s v="Bangalore"/>
    <n v="623"/>
    <x v="6"/>
    <n v="4"/>
    <n v="21307.39"/>
    <n v="0"/>
    <n v="8.5999999999999993E-2"/>
    <n v="8"/>
    <x v="2"/>
  </r>
  <r>
    <s v="T5294"/>
    <s v="U4486"/>
    <n v="1141.24"/>
    <s v="Payment"/>
    <s v="Wallet"/>
    <s v="Web"/>
    <s v="Delhi"/>
    <n v="1576"/>
    <x v="22"/>
    <n v="0"/>
    <n v="16682.560000000001"/>
    <n v="0"/>
    <n v="0.68899999999999995"/>
    <n v="7"/>
    <x v="2"/>
  </r>
  <r>
    <s v="T5318"/>
    <s v="U8203"/>
    <n v="47945.65"/>
    <s v="Withdrawal"/>
    <s v="Wallet"/>
    <s v="Android"/>
    <s v="Delhi"/>
    <n v="192"/>
    <x v="20"/>
    <n v="1"/>
    <n v="28691.3"/>
    <n v="0"/>
    <n v="0.79"/>
    <n v="6"/>
    <x v="2"/>
  </r>
  <r>
    <s v="T5322"/>
    <s v="U9290"/>
    <n v="13986.46"/>
    <s v="Withdrawal"/>
    <s v="Wallet"/>
    <s v="Android"/>
    <s v="Delhi"/>
    <n v="275"/>
    <x v="11"/>
    <n v="0"/>
    <n v="12469.38"/>
    <n v="0"/>
    <n v="0.30199999999999999"/>
    <n v="1"/>
    <x v="2"/>
  </r>
  <r>
    <s v="T5328"/>
    <s v="U9307"/>
    <n v="7768.32"/>
    <s v="Withdrawal"/>
    <s v="Card"/>
    <s v="iOS"/>
    <s v="Mumbai"/>
    <n v="1398"/>
    <x v="17"/>
    <n v="0"/>
    <n v="14818.11"/>
    <n v="0"/>
    <n v="0.69399999999999995"/>
    <n v="4"/>
    <x v="2"/>
  </r>
  <r>
    <s v="T5374"/>
    <s v="U5099"/>
    <n v="39099.9"/>
    <s v="Withdrawal"/>
    <s v="UPI"/>
    <s v="iOS"/>
    <s v="Hyderabad"/>
    <n v="1869"/>
    <x v="23"/>
    <n v="0"/>
    <n v="23264.560000000001"/>
    <n v="0"/>
    <n v="0.59299999999999997"/>
    <n v="7"/>
    <x v="2"/>
  </r>
  <r>
    <s v="T5392"/>
    <s v="U5818"/>
    <n v="28481.86"/>
    <s v="Transfer"/>
    <s v="Wallet"/>
    <s v="Android"/>
    <s v="Mumbai"/>
    <n v="115"/>
    <x v="12"/>
    <n v="1"/>
    <n v="18760.169999999998"/>
    <n v="1"/>
    <n v="0.16"/>
    <n v="9"/>
    <x v="2"/>
  </r>
  <r>
    <s v="T5404"/>
    <s v="U1338"/>
    <n v="12419.2"/>
    <s v="Withdrawal"/>
    <s v="Wallet"/>
    <s v="Web"/>
    <s v="Chennai"/>
    <n v="1213"/>
    <x v="23"/>
    <n v="3"/>
    <n v="17709.3"/>
    <n v="0"/>
    <n v="0.92800000000000005"/>
    <n v="2"/>
    <x v="2"/>
  </r>
  <r>
    <s v="T5436"/>
    <s v="U3914"/>
    <n v="36992.080000000002"/>
    <s v="Transfer"/>
    <s v="Wallet"/>
    <s v="Android"/>
    <s v="Bangalore"/>
    <n v="1287"/>
    <x v="5"/>
    <n v="1"/>
    <n v="1553.27"/>
    <n v="0"/>
    <n v="0.68799999999999994"/>
    <n v="6"/>
    <x v="2"/>
  </r>
  <r>
    <s v="T5438"/>
    <s v="U7725"/>
    <n v="42089.02"/>
    <s v="Transfer"/>
    <s v="NetBanking"/>
    <s v="Android"/>
    <s v="Hyderabad"/>
    <n v="1857"/>
    <x v="20"/>
    <n v="2"/>
    <n v="20613.97"/>
    <n v="0"/>
    <n v="0.95"/>
    <n v="2"/>
    <x v="2"/>
  </r>
  <r>
    <s v="T5458"/>
    <s v="U4865"/>
    <n v="19576.330000000002"/>
    <s v="Payment"/>
    <s v="Wallet"/>
    <s v="iOS"/>
    <s v="Hyderabad"/>
    <n v="836"/>
    <x v="22"/>
    <n v="1"/>
    <n v="14183.86"/>
    <n v="0"/>
    <n v="0.14399999999999999"/>
    <n v="8"/>
    <x v="2"/>
  </r>
  <r>
    <s v="T5462"/>
    <s v="U3570"/>
    <n v="12120.86"/>
    <s v="Withdrawal"/>
    <s v="UPI"/>
    <s v="Web"/>
    <s v="Mumbai"/>
    <n v="108"/>
    <x v="5"/>
    <n v="2"/>
    <n v="20468.78"/>
    <n v="0"/>
    <n v="8.4000000000000005E-2"/>
    <n v="8"/>
    <x v="2"/>
  </r>
  <r>
    <s v="T5464"/>
    <s v="U9229"/>
    <n v="15879.36"/>
    <s v="Payment"/>
    <s v="Wallet"/>
    <s v="Web"/>
    <s v="Delhi"/>
    <n v="1814"/>
    <x v="22"/>
    <n v="2"/>
    <n v="28177"/>
    <n v="0"/>
    <n v="0.221"/>
    <n v="5"/>
    <x v="2"/>
  </r>
  <r>
    <s v="T5499"/>
    <s v="U5546"/>
    <n v="28486.78"/>
    <s v="Withdrawal"/>
    <s v="Card"/>
    <s v="iOS"/>
    <s v="Bangalore"/>
    <n v="1645"/>
    <x v="9"/>
    <n v="2"/>
    <n v="22725.03"/>
    <n v="0"/>
    <n v="0.83899999999999997"/>
    <n v="2"/>
    <x v="2"/>
  </r>
  <r>
    <s v="T5502"/>
    <s v="U7972"/>
    <n v="2605.7199999999998"/>
    <s v="Withdrawal"/>
    <s v="Wallet"/>
    <s v="Android"/>
    <s v="Bangalore"/>
    <n v="526"/>
    <x v="6"/>
    <n v="3"/>
    <n v="17246.09"/>
    <n v="0"/>
    <n v="0.97599999999999998"/>
    <n v="3"/>
    <x v="2"/>
  </r>
  <r>
    <s v="T5504"/>
    <s v="U6629"/>
    <n v="24625.49"/>
    <s v="Payment"/>
    <s v="Card"/>
    <s v="Web"/>
    <s v="Bangalore"/>
    <n v="1230"/>
    <x v="8"/>
    <n v="3"/>
    <n v="5873.95"/>
    <n v="0"/>
    <n v="0.96399999999999997"/>
    <n v="3"/>
    <x v="2"/>
  </r>
  <r>
    <s v="T5544"/>
    <s v="U6542"/>
    <n v="41417.879999999997"/>
    <s v="Withdrawal"/>
    <s v="Wallet"/>
    <s v="Web"/>
    <s v="Hyderabad"/>
    <n v="1038"/>
    <x v="0"/>
    <n v="1"/>
    <n v="24483.18"/>
    <n v="0"/>
    <n v="0.44500000000000001"/>
    <n v="7"/>
    <x v="2"/>
  </r>
  <r>
    <s v="T5573"/>
    <s v="U8536"/>
    <n v="41100.870000000003"/>
    <s v="Payment"/>
    <s v="Card"/>
    <s v="Web"/>
    <s v="Bangalore"/>
    <n v="462"/>
    <x v="22"/>
    <n v="1"/>
    <n v="11021.73"/>
    <n v="0"/>
    <n v="0.19600000000000001"/>
    <n v="1"/>
    <x v="2"/>
  </r>
  <r>
    <s v="T5582"/>
    <s v="U9568"/>
    <n v="18146.560000000001"/>
    <s v="Payment"/>
    <s v="NetBanking"/>
    <s v="iOS"/>
    <s v="Delhi"/>
    <n v="1724"/>
    <x v="16"/>
    <n v="2"/>
    <n v="18580.79"/>
    <n v="0"/>
    <n v="0.96199999999999997"/>
    <n v="1"/>
    <x v="2"/>
  </r>
  <r>
    <s v="T5607"/>
    <s v="U9614"/>
    <n v="43491.31"/>
    <s v="Withdrawal"/>
    <s v="UPI"/>
    <s v="iOS"/>
    <s v="Bangalore"/>
    <n v="1680"/>
    <x v="9"/>
    <n v="2"/>
    <n v="24889.26"/>
    <n v="0"/>
    <n v="0.79600000000000004"/>
    <n v="2"/>
    <x v="2"/>
  </r>
  <r>
    <s v="T5609"/>
    <s v="U8019"/>
    <n v="22479.439999999999"/>
    <s v="Payment"/>
    <s v="UPI"/>
    <s v="Android"/>
    <s v="Hyderabad"/>
    <n v="954"/>
    <x v="18"/>
    <n v="4"/>
    <n v="3225.46"/>
    <n v="1"/>
    <n v="9.9000000000000005E-2"/>
    <n v="8"/>
    <x v="2"/>
  </r>
  <r>
    <s v="T5620"/>
    <s v="U6288"/>
    <n v="9665.0300000000007"/>
    <s v="Withdrawal"/>
    <s v="UPI"/>
    <s v="Web"/>
    <s v="Hyderabad"/>
    <n v="1907"/>
    <x v="2"/>
    <n v="0"/>
    <n v="3453.92"/>
    <n v="0"/>
    <n v="0.14000000000000001"/>
    <n v="8"/>
    <x v="2"/>
  </r>
  <r>
    <s v="T5625"/>
    <s v="U1132"/>
    <n v="2485.88"/>
    <s v="Transfer"/>
    <s v="Wallet"/>
    <s v="Android"/>
    <s v="Bangalore"/>
    <n v="239"/>
    <x v="7"/>
    <n v="3"/>
    <n v="24468.84"/>
    <n v="0"/>
    <n v="0.72799999999999998"/>
    <n v="7"/>
    <x v="2"/>
  </r>
  <r>
    <s v="T5638"/>
    <s v="U7949"/>
    <n v="42025.39"/>
    <s v="Transfer"/>
    <s v="Wallet"/>
    <s v="Web"/>
    <s v="Chennai"/>
    <n v="743"/>
    <x v="8"/>
    <n v="1"/>
    <n v="10551.86"/>
    <n v="0"/>
    <n v="0.34399999999999997"/>
    <n v="3"/>
    <x v="2"/>
  </r>
  <r>
    <s v="T5655"/>
    <s v="U7531"/>
    <n v="6349.2"/>
    <s v="Payment"/>
    <s v="Card"/>
    <s v="Web"/>
    <s v="Bangalore"/>
    <n v="1616"/>
    <x v="0"/>
    <n v="3"/>
    <n v="22420.68"/>
    <n v="0"/>
    <n v="0.89200000000000002"/>
    <n v="2"/>
    <x v="2"/>
  </r>
  <r>
    <s v="T5661"/>
    <s v="U8254"/>
    <n v="9245.86"/>
    <s v="Withdrawal"/>
    <s v="Wallet"/>
    <s v="Android"/>
    <s v="Chennai"/>
    <n v="315"/>
    <x v="23"/>
    <n v="2"/>
    <n v="26131.77"/>
    <n v="0"/>
    <n v="0.28499999999999998"/>
    <n v="8"/>
    <x v="2"/>
  </r>
  <r>
    <s v="T5671"/>
    <s v="U5846"/>
    <n v="42550.1"/>
    <s v="Withdrawal"/>
    <s v="Wallet"/>
    <s v="Web"/>
    <s v="Delhi"/>
    <n v="1425"/>
    <x v="12"/>
    <n v="1"/>
    <n v="1187.51"/>
    <n v="0"/>
    <n v="0.56599999999999995"/>
    <n v="5"/>
    <x v="2"/>
  </r>
  <r>
    <s v="T5689"/>
    <s v="U8342"/>
    <n v="7373.4"/>
    <s v="Payment"/>
    <s v="NetBanking"/>
    <s v="Web"/>
    <s v="Delhi"/>
    <n v="1531"/>
    <x v="23"/>
    <n v="4"/>
    <n v="22444.560000000001"/>
    <n v="1"/>
    <n v="0.45100000000000001"/>
    <n v="1"/>
    <x v="2"/>
  </r>
  <r>
    <s v="T5765"/>
    <s v="U2580"/>
    <n v="43743.45"/>
    <s v="Transfer"/>
    <s v="Card"/>
    <s v="iOS"/>
    <s v="Delhi"/>
    <n v="1069"/>
    <x v="10"/>
    <n v="2"/>
    <n v="29826.31"/>
    <n v="0"/>
    <n v="0.372"/>
    <n v="8"/>
    <x v="2"/>
  </r>
  <r>
    <s v="T5769"/>
    <s v="U2761"/>
    <n v="13436.46"/>
    <s v="Payment"/>
    <s v="Card"/>
    <s v="Android"/>
    <s v="Hyderabad"/>
    <n v="1680"/>
    <x v="9"/>
    <n v="0"/>
    <n v="18511.34"/>
    <n v="0"/>
    <n v="0.96599999999999997"/>
    <n v="7"/>
    <x v="2"/>
  </r>
  <r>
    <s v="T5818"/>
    <s v="U1588"/>
    <n v="29059.39"/>
    <s v="Transfer"/>
    <s v="NetBanking"/>
    <s v="Web"/>
    <s v="Mumbai"/>
    <n v="1470"/>
    <x v="21"/>
    <n v="1"/>
    <n v="4146.66"/>
    <n v="0"/>
    <n v="0.94799999999999995"/>
    <n v="5"/>
    <x v="2"/>
  </r>
  <r>
    <s v="T5820"/>
    <s v="U4493"/>
    <n v="24862.33"/>
    <s v="Payment"/>
    <s v="NetBanking"/>
    <s v="iOS"/>
    <s v="Hyderabad"/>
    <n v="1401"/>
    <x v="22"/>
    <n v="1"/>
    <n v="13618.04"/>
    <n v="0"/>
    <n v="3.6999999999999998E-2"/>
    <n v="2"/>
    <x v="2"/>
  </r>
  <r>
    <s v="T5903"/>
    <s v="U7336"/>
    <n v="6512.56"/>
    <s v="Transfer"/>
    <s v="UPI"/>
    <s v="iOS"/>
    <s v="Mumbai"/>
    <n v="812"/>
    <x v="23"/>
    <n v="3"/>
    <n v="18888.11"/>
    <n v="0"/>
    <n v="0.60799999999999998"/>
    <n v="7"/>
    <x v="2"/>
  </r>
  <r>
    <s v="T5918"/>
    <s v="U6004"/>
    <n v="33337.040000000001"/>
    <s v="Transfer"/>
    <s v="UPI"/>
    <s v="Web"/>
    <s v="Delhi"/>
    <n v="1743"/>
    <x v="8"/>
    <n v="1"/>
    <n v="25991.24"/>
    <n v="0"/>
    <n v="0.97699999999999998"/>
    <n v="5"/>
    <x v="2"/>
  </r>
  <r>
    <s v="T5919"/>
    <s v="U3438"/>
    <n v="14305.93"/>
    <s v="Payment"/>
    <s v="NetBanking"/>
    <s v="Web"/>
    <s v="Bangalore"/>
    <n v="279"/>
    <x v="0"/>
    <n v="4"/>
    <n v="21105.360000000001"/>
    <n v="0"/>
    <n v="0.28799999999999998"/>
    <n v="1"/>
    <x v="2"/>
  </r>
  <r>
    <s v="T5939"/>
    <s v="U8840"/>
    <n v="11987.93"/>
    <s v="Transfer"/>
    <s v="UPI"/>
    <s v="Android"/>
    <s v="Delhi"/>
    <n v="1509"/>
    <x v="1"/>
    <n v="3"/>
    <n v="21438.15"/>
    <n v="0"/>
    <n v="0.21199999999999999"/>
    <n v="4"/>
    <x v="2"/>
  </r>
  <r>
    <s v="T5954"/>
    <s v="U9997"/>
    <n v="30833.72"/>
    <s v="Transfer"/>
    <s v="Card"/>
    <s v="Web"/>
    <s v="Hyderabad"/>
    <n v="769"/>
    <x v="17"/>
    <n v="3"/>
    <n v="17255.61"/>
    <n v="0"/>
    <n v="0.35799999999999998"/>
    <n v="9"/>
    <x v="2"/>
  </r>
  <r>
    <s v="T5960"/>
    <s v="U7636"/>
    <n v="40556.21"/>
    <s v="Withdrawal"/>
    <s v="UPI"/>
    <s v="Web"/>
    <s v="Hyderabad"/>
    <n v="886"/>
    <x v="18"/>
    <n v="0"/>
    <n v="25932.87"/>
    <n v="1"/>
    <n v="0.23899999999999999"/>
    <n v="4"/>
    <x v="2"/>
  </r>
  <r>
    <s v="T5983"/>
    <s v="U1475"/>
    <n v="48020.32"/>
    <s v="Transfer"/>
    <s v="UPI"/>
    <s v="Android"/>
    <s v="Delhi"/>
    <n v="1722"/>
    <x v="11"/>
    <n v="1"/>
    <n v="4528.3999999999996"/>
    <n v="0"/>
    <n v="0.32800000000000001"/>
    <n v="2"/>
    <x v="2"/>
  </r>
  <r>
    <s v="T5992"/>
    <s v="U6349"/>
    <n v="27123.66"/>
    <s v="Payment"/>
    <s v="Card"/>
    <s v="Web"/>
    <s v="Mumbai"/>
    <n v="1220"/>
    <x v="0"/>
    <n v="1"/>
    <n v="26218.42"/>
    <n v="1"/>
    <n v="5.1999999999999998E-2"/>
    <n v="6"/>
    <x v="2"/>
  </r>
  <r>
    <s v="T6024"/>
    <s v="U7437"/>
    <n v="5006.92"/>
    <s v="Withdrawal"/>
    <s v="Card"/>
    <s v="Web"/>
    <s v="Delhi"/>
    <n v="727"/>
    <x v="19"/>
    <n v="2"/>
    <n v="26696.93"/>
    <n v="0"/>
    <n v="0.57699999999999996"/>
    <n v="8"/>
    <x v="2"/>
  </r>
  <r>
    <s v="T6051"/>
    <s v="U8219"/>
    <n v="25700.22"/>
    <s v="Transfer"/>
    <s v="Wallet"/>
    <s v="Android"/>
    <s v="Hyderabad"/>
    <n v="1930"/>
    <x v="16"/>
    <n v="3"/>
    <n v="5705.48"/>
    <n v="1"/>
    <n v="0.40699999999999997"/>
    <n v="6"/>
    <x v="2"/>
  </r>
  <r>
    <s v="T6062"/>
    <s v="U8508"/>
    <n v="16698.330000000002"/>
    <s v="Payment"/>
    <s v="Wallet"/>
    <s v="Android"/>
    <s v="Mumbai"/>
    <n v="629"/>
    <x v="15"/>
    <n v="3"/>
    <n v="887.41"/>
    <n v="0"/>
    <n v="0.13400000000000001"/>
    <n v="8"/>
    <x v="2"/>
  </r>
  <r>
    <s v="T6089"/>
    <s v="U2135"/>
    <n v="35479.339999999997"/>
    <s v="Payment"/>
    <s v="NetBanking"/>
    <s v="iOS"/>
    <s v="Hyderabad"/>
    <n v="1128"/>
    <x v="16"/>
    <n v="2"/>
    <n v="13678.48"/>
    <n v="0"/>
    <n v="0.23200000000000001"/>
    <n v="8"/>
    <x v="2"/>
  </r>
  <r>
    <s v="T6094"/>
    <s v="U5408"/>
    <n v="28208.67"/>
    <s v="Transfer"/>
    <s v="Card"/>
    <s v="iOS"/>
    <s v="Mumbai"/>
    <n v="1612"/>
    <x v="21"/>
    <n v="0"/>
    <n v="10153.629999999999"/>
    <n v="0"/>
    <n v="0.86899999999999999"/>
    <n v="5"/>
    <x v="2"/>
  </r>
  <r>
    <s v="T6115"/>
    <s v="U1653"/>
    <n v="13523.64"/>
    <s v="Withdrawal"/>
    <s v="Wallet"/>
    <s v="Android"/>
    <s v="Hyderabad"/>
    <n v="1449"/>
    <x v="7"/>
    <n v="0"/>
    <n v="8737.94"/>
    <n v="0"/>
    <n v="0.307"/>
    <n v="9"/>
    <x v="2"/>
  </r>
  <r>
    <s v="T6122"/>
    <s v="U8277"/>
    <n v="5726.62"/>
    <s v="Transfer"/>
    <s v="UPI"/>
    <s v="iOS"/>
    <s v="Bangalore"/>
    <n v="780"/>
    <x v="15"/>
    <n v="3"/>
    <n v="4088.4"/>
    <n v="0"/>
    <n v="0.16300000000000001"/>
    <n v="8"/>
    <x v="2"/>
  </r>
  <r>
    <s v="T6123"/>
    <s v="U4460"/>
    <n v="245.72"/>
    <s v="Withdrawal"/>
    <s v="Card"/>
    <s v="Web"/>
    <s v="Mumbai"/>
    <n v="676"/>
    <x v="6"/>
    <n v="3"/>
    <n v="16284.59"/>
    <n v="0"/>
    <n v="0.61499999999999999"/>
    <n v="9"/>
    <x v="2"/>
  </r>
  <r>
    <s v="T6129"/>
    <s v="U2704"/>
    <n v="7605.65"/>
    <s v="Withdrawal"/>
    <s v="Card"/>
    <s v="iOS"/>
    <s v="Mumbai"/>
    <n v="380"/>
    <x v="23"/>
    <n v="3"/>
    <n v="18989.48"/>
    <n v="0"/>
    <n v="0.42899999999999999"/>
    <n v="7"/>
    <x v="2"/>
  </r>
  <r>
    <s v="T6131"/>
    <s v="U7097"/>
    <n v="18829.759999999998"/>
    <s v="Withdrawal"/>
    <s v="Wallet"/>
    <s v="Web"/>
    <s v="Chennai"/>
    <n v="169"/>
    <x v="9"/>
    <n v="2"/>
    <n v="22122.71"/>
    <n v="0"/>
    <n v="0.17599999999999999"/>
    <n v="5"/>
    <x v="2"/>
  </r>
  <r>
    <s v="T6144"/>
    <s v="U2789"/>
    <n v="43802.85"/>
    <s v="Withdrawal"/>
    <s v="Card"/>
    <s v="Android"/>
    <s v="Bangalore"/>
    <n v="983"/>
    <x v="21"/>
    <n v="4"/>
    <n v="24400.93"/>
    <n v="0"/>
    <n v="0.72599999999999998"/>
    <n v="7"/>
    <x v="2"/>
  </r>
  <r>
    <s v="T6147"/>
    <s v="U3689"/>
    <n v="25637.42"/>
    <s v="Payment"/>
    <s v="Wallet"/>
    <s v="Android"/>
    <s v="Chennai"/>
    <n v="1879"/>
    <x v="11"/>
    <n v="4"/>
    <n v="17529.23"/>
    <n v="0"/>
    <n v="0.66300000000000003"/>
    <n v="7"/>
    <x v="2"/>
  </r>
  <r>
    <s v="T6151"/>
    <s v="U8037"/>
    <n v="29009.58"/>
    <s v="Payment"/>
    <s v="NetBanking"/>
    <s v="Android"/>
    <s v="Chennai"/>
    <n v="1663"/>
    <x v="22"/>
    <n v="3"/>
    <n v="23704.86"/>
    <n v="0"/>
    <n v="0.96899999999999997"/>
    <n v="6"/>
    <x v="2"/>
  </r>
  <r>
    <s v="T6156"/>
    <s v="U3128"/>
    <n v="1671.92"/>
    <s v="Payment"/>
    <s v="NetBanking"/>
    <s v="Web"/>
    <s v="Delhi"/>
    <n v="338"/>
    <x v="3"/>
    <n v="2"/>
    <n v="11910.36"/>
    <n v="0"/>
    <n v="0.58099999999999996"/>
    <n v="2"/>
    <x v="2"/>
  </r>
  <r>
    <s v="T6214"/>
    <s v="U8519"/>
    <n v="17567.95"/>
    <s v="Withdrawal"/>
    <s v="Card"/>
    <s v="Web"/>
    <s v="Delhi"/>
    <n v="719"/>
    <x v="12"/>
    <n v="0"/>
    <n v="28483.45"/>
    <n v="0"/>
    <n v="0.98199999999999998"/>
    <n v="4"/>
    <x v="2"/>
  </r>
  <r>
    <s v="T6215"/>
    <s v="U6048"/>
    <n v="38653.360000000001"/>
    <s v="Payment"/>
    <s v="Wallet"/>
    <s v="Web"/>
    <s v="Hyderabad"/>
    <n v="369"/>
    <x v="9"/>
    <n v="3"/>
    <n v="2185.06"/>
    <n v="1"/>
    <n v="0.41199999999999998"/>
    <n v="4"/>
    <x v="2"/>
  </r>
  <r>
    <s v="T6231"/>
    <s v="U3747"/>
    <n v="28949.27"/>
    <s v="Transfer"/>
    <s v="NetBanking"/>
    <s v="Android"/>
    <s v="Hyderabad"/>
    <n v="1341"/>
    <x v="19"/>
    <n v="3"/>
    <n v="22011.11"/>
    <n v="0"/>
    <n v="0.624"/>
    <n v="1"/>
    <x v="2"/>
  </r>
  <r>
    <s v="T6234"/>
    <s v="U5294"/>
    <n v="8766.2000000000007"/>
    <s v="Withdrawal"/>
    <s v="UPI"/>
    <s v="Android"/>
    <s v="Mumbai"/>
    <n v="1120"/>
    <x v="7"/>
    <n v="4"/>
    <n v="2848.31"/>
    <n v="0"/>
    <n v="0.26100000000000001"/>
    <n v="1"/>
    <x v="2"/>
  </r>
  <r>
    <s v="T6249"/>
    <s v="U5701"/>
    <n v="36019.56"/>
    <s v="Withdrawal"/>
    <s v="UPI"/>
    <s v="Web"/>
    <s v="Mumbai"/>
    <n v="1996"/>
    <x v="18"/>
    <n v="1"/>
    <n v="584.54"/>
    <n v="0"/>
    <n v="0.1"/>
    <n v="4"/>
    <x v="2"/>
  </r>
  <r>
    <s v="T6265"/>
    <s v="U9349"/>
    <n v="42134.78"/>
    <s v="Payment"/>
    <s v="NetBanking"/>
    <s v="iOS"/>
    <s v="Bangalore"/>
    <n v="454"/>
    <x v="1"/>
    <n v="4"/>
    <n v="21357.24"/>
    <n v="0"/>
    <n v="0.17699999999999999"/>
    <n v="5"/>
    <x v="2"/>
  </r>
  <r>
    <s v="T6274"/>
    <s v="U5821"/>
    <n v="27493.119999999999"/>
    <s v="Payment"/>
    <s v="NetBanking"/>
    <s v="iOS"/>
    <s v="Chennai"/>
    <n v="1056"/>
    <x v="3"/>
    <n v="2"/>
    <n v="2141.5100000000002"/>
    <n v="0"/>
    <n v="0.31"/>
    <n v="5"/>
    <x v="2"/>
  </r>
  <r>
    <s v="T6317"/>
    <s v="U4052"/>
    <n v="36190.550000000003"/>
    <s v="Withdrawal"/>
    <s v="UPI"/>
    <s v="iOS"/>
    <s v="Delhi"/>
    <n v="189"/>
    <x v="5"/>
    <n v="4"/>
    <n v="617.22"/>
    <n v="0"/>
    <n v="0.16800000000000001"/>
    <n v="2"/>
    <x v="2"/>
  </r>
  <r>
    <s v="T6339"/>
    <s v="U4406"/>
    <n v="23062.57"/>
    <s v="Transfer"/>
    <s v="Card"/>
    <s v="iOS"/>
    <s v="Hyderabad"/>
    <n v="713"/>
    <x v="14"/>
    <n v="1"/>
    <n v="29648.73"/>
    <n v="0"/>
    <n v="0.93600000000000005"/>
    <n v="8"/>
    <x v="2"/>
  </r>
  <r>
    <s v="T6349"/>
    <s v="U2953"/>
    <n v="29833.119999999999"/>
    <s v="Payment"/>
    <s v="NetBanking"/>
    <s v="iOS"/>
    <s v="Mumbai"/>
    <n v="461"/>
    <x v="21"/>
    <n v="4"/>
    <n v="29406.54"/>
    <n v="1"/>
    <n v="0.86699999999999999"/>
    <n v="9"/>
    <x v="2"/>
  </r>
  <r>
    <s v="T6368"/>
    <s v="U1972"/>
    <n v="8255.31"/>
    <s v="Transfer"/>
    <s v="UPI"/>
    <s v="Web"/>
    <s v="Bangalore"/>
    <n v="1474"/>
    <x v="16"/>
    <n v="2"/>
    <n v="7130.34"/>
    <n v="1"/>
    <n v="0.97"/>
    <n v="5"/>
    <x v="2"/>
  </r>
  <r>
    <s v="T6393"/>
    <s v="U3191"/>
    <n v="37520.53"/>
    <s v="Withdrawal"/>
    <s v="Card"/>
    <s v="Android"/>
    <s v="Bangalore"/>
    <n v="1715"/>
    <x v="20"/>
    <n v="0"/>
    <n v="24553.32"/>
    <n v="0"/>
    <n v="0.89700000000000002"/>
    <n v="3"/>
    <x v="2"/>
  </r>
  <r>
    <s v="T6414"/>
    <s v="U4821"/>
    <n v="19832.919999999998"/>
    <s v="Withdrawal"/>
    <s v="UPI"/>
    <s v="iOS"/>
    <s v="Delhi"/>
    <n v="181"/>
    <x v="3"/>
    <n v="4"/>
    <n v="14106.53"/>
    <n v="0"/>
    <n v="0.97399999999999998"/>
    <n v="8"/>
    <x v="2"/>
  </r>
  <r>
    <s v="T6427"/>
    <s v="U8896"/>
    <n v="47380.88"/>
    <s v="Withdrawal"/>
    <s v="Card"/>
    <s v="Android"/>
    <s v="Mumbai"/>
    <n v="441"/>
    <x v="4"/>
    <n v="1"/>
    <n v="6638.97"/>
    <n v="0"/>
    <n v="0.40200000000000002"/>
    <n v="4"/>
    <x v="2"/>
  </r>
  <r>
    <s v="T6433"/>
    <s v="U1248"/>
    <n v="44087.69"/>
    <s v="Transfer"/>
    <s v="Wallet"/>
    <s v="Web"/>
    <s v="Hyderabad"/>
    <n v="65"/>
    <x v="1"/>
    <n v="3"/>
    <n v="7439.47"/>
    <n v="1"/>
    <n v="0.42399999999999999"/>
    <n v="3"/>
    <x v="2"/>
  </r>
  <r>
    <s v="T6466"/>
    <s v="U3045"/>
    <n v="2815.22"/>
    <s v="Withdrawal"/>
    <s v="Card"/>
    <s v="Web"/>
    <s v="Hyderabad"/>
    <n v="27"/>
    <x v="22"/>
    <n v="2"/>
    <n v="8438.57"/>
    <n v="0"/>
    <n v="0.61799999999999999"/>
    <n v="4"/>
    <x v="2"/>
  </r>
  <r>
    <s v="T6469"/>
    <s v="U9831"/>
    <n v="46704.95"/>
    <s v="Transfer"/>
    <s v="Card"/>
    <s v="Android"/>
    <s v="Chennai"/>
    <n v="1745"/>
    <x v="18"/>
    <n v="1"/>
    <n v="27882.65"/>
    <n v="0"/>
    <n v="4.4999999999999998E-2"/>
    <n v="4"/>
    <x v="2"/>
  </r>
  <r>
    <s v="T6483"/>
    <s v="U6389"/>
    <n v="31147.64"/>
    <s v="Transfer"/>
    <s v="NetBanking"/>
    <s v="iOS"/>
    <s v="Chennai"/>
    <n v="291"/>
    <x v="0"/>
    <n v="3"/>
    <n v="27345.68"/>
    <n v="0"/>
    <n v="0.41399999999999998"/>
    <n v="6"/>
    <x v="2"/>
  </r>
  <r>
    <s v="T6516"/>
    <s v="U7232"/>
    <n v="11683.45"/>
    <s v="Transfer"/>
    <s v="NetBanking"/>
    <s v="Web"/>
    <s v="Chennai"/>
    <n v="1843"/>
    <x v="14"/>
    <n v="3"/>
    <n v="6090.84"/>
    <n v="0"/>
    <n v="2E-3"/>
    <n v="8"/>
    <x v="2"/>
  </r>
  <r>
    <s v="T6522"/>
    <s v="U6123"/>
    <n v="10629.32"/>
    <s v="Payment"/>
    <s v="Card"/>
    <s v="Android"/>
    <s v="Delhi"/>
    <n v="663"/>
    <x v="1"/>
    <n v="4"/>
    <n v="7888.2"/>
    <n v="0"/>
    <n v="0.755"/>
    <n v="6"/>
    <x v="2"/>
  </r>
  <r>
    <s v="T6534"/>
    <s v="U1576"/>
    <n v="504.45"/>
    <s v="Payment"/>
    <s v="NetBanking"/>
    <s v="iOS"/>
    <s v="Hyderabad"/>
    <n v="494"/>
    <x v="21"/>
    <n v="3"/>
    <n v="18997.53"/>
    <n v="0"/>
    <n v="0.44400000000000001"/>
    <n v="3"/>
    <x v="2"/>
  </r>
  <r>
    <s v="T6538"/>
    <s v="U8467"/>
    <n v="44419.199999999997"/>
    <s v="Withdrawal"/>
    <s v="Wallet"/>
    <s v="iOS"/>
    <s v="Bangalore"/>
    <n v="884"/>
    <x v="4"/>
    <n v="2"/>
    <n v="14632.35"/>
    <n v="0"/>
    <n v="0.32800000000000001"/>
    <n v="9"/>
    <x v="2"/>
  </r>
  <r>
    <s v="T6556"/>
    <s v="U6648"/>
    <n v="35665.06"/>
    <s v="Payment"/>
    <s v="Card"/>
    <s v="Web"/>
    <s v="Chennai"/>
    <n v="1486"/>
    <x v="18"/>
    <n v="1"/>
    <n v="17956.97"/>
    <n v="0"/>
    <n v="0.14399999999999999"/>
    <n v="7"/>
    <x v="2"/>
  </r>
  <r>
    <s v="T6560"/>
    <s v="U6607"/>
    <n v="47761"/>
    <s v="Transfer"/>
    <s v="Wallet"/>
    <s v="Android"/>
    <s v="Hyderabad"/>
    <n v="981"/>
    <x v="4"/>
    <n v="4"/>
    <n v="13266.45"/>
    <n v="1"/>
    <n v="0.74199999999999999"/>
    <n v="6"/>
    <x v="2"/>
  </r>
  <r>
    <s v="T6561"/>
    <s v="U9936"/>
    <n v="12045.57"/>
    <s v="Transfer"/>
    <s v="NetBanking"/>
    <s v="iOS"/>
    <s v="Hyderabad"/>
    <n v="1347"/>
    <x v="13"/>
    <n v="3"/>
    <n v="23956.240000000002"/>
    <n v="0"/>
    <n v="0.38500000000000001"/>
    <n v="8"/>
    <x v="2"/>
  </r>
  <r>
    <s v="T6563"/>
    <s v="U9422"/>
    <n v="9231.4500000000007"/>
    <s v="Withdrawal"/>
    <s v="Card"/>
    <s v="iOS"/>
    <s v="Delhi"/>
    <n v="1415"/>
    <x v="5"/>
    <n v="4"/>
    <n v="6249.7"/>
    <n v="0"/>
    <n v="0.95099999999999996"/>
    <n v="2"/>
    <x v="2"/>
  </r>
  <r>
    <s v="T6585"/>
    <s v="U5827"/>
    <n v="33474.25"/>
    <s v="Transfer"/>
    <s v="NetBanking"/>
    <s v="Android"/>
    <s v="Mumbai"/>
    <n v="1239"/>
    <x v="12"/>
    <n v="2"/>
    <n v="3026.52"/>
    <n v="0"/>
    <n v="0.65500000000000003"/>
    <n v="6"/>
    <x v="2"/>
  </r>
  <r>
    <s v="T6586"/>
    <s v="U6247"/>
    <n v="20544.669999999998"/>
    <s v="Withdrawal"/>
    <s v="Card"/>
    <s v="Web"/>
    <s v="Hyderabad"/>
    <n v="1364"/>
    <x v="12"/>
    <n v="3"/>
    <n v="16045.56"/>
    <n v="0"/>
    <n v="0.13100000000000001"/>
    <n v="1"/>
    <x v="2"/>
  </r>
  <r>
    <s v="T6624"/>
    <s v="U1036"/>
    <n v="27064.31"/>
    <s v="Transfer"/>
    <s v="Wallet"/>
    <s v="Web"/>
    <s v="Delhi"/>
    <n v="1845"/>
    <x v="20"/>
    <n v="1"/>
    <n v="9678.16"/>
    <n v="0"/>
    <n v="0.71699999999999997"/>
    <n v="5"/>
    <x v="2"/>
  </r>
  <r>
    <s v="T6645"/>
    <s v="U8582"/>
    <n v="13420.04"/>
    <s v="Withdrawal"/>
    <s v="UPI"/>
    <s v="iOS"/>
    <s v="Chennai"/>
    <n v="196"/>
    <x v="10"/>
    <n v="1"/>
    <n v="8112.25"/>
    <n v="1"/>
    <n v="0.97499999999999998"/>
    <n v="8"/>
    <x v="2"/>
  </r>
  <r>
    <s v="T6661"/>
    <s v="U3794"/>
    <n v="28635.58"/>
    <s v="Transfer"/>
    <s v="UPI"/>
    <s v="Android"/>
    <s v="Chennai"/>
    <n v="155"/>
    <x v="22"/>
    <n v="1"/>
    <n v="26230.47"/>
    <n v="0"/>
    <n v="0.87"/>
    <n v="1"/>
    <x v="2"/>
  </r>
  <r>
    <s v="T6674"/>
    <s v="U6047"/>
    <n v="3209.51"/>
    <s v="Withdrawal"/>
    <s v="NetBanking"/>
    <s v="Web"/>
    <s v="Delhi"/>
    <n v="1435"/>
    <x v="20"/>
    <n v="3"/>
    <n v="7553.01"/>
    <n v="0"/>
    <n v="0.49199999999999999"/>
    <n v="4"/>
    <x v="2"/>
  </r>
  <r>
    <s v="T6693"/>
    <s v="U6279"/>
    <n v="33868.04"/>
    <s v="Payment"/>
    <s v="Card"/>
    <s v="Web"/>
    <s v="Bangalore"/>
    <n v="1670"/>
    <x v="3"/>
    <n v="2"/>
    <n v="15309.44"/>
    <n v="0"/>
    <n v="0.84199999999999997"/>
    <n v="7"/>
    <x v="2"/>
  </r>
  <r>
    <s v="T6725"/>
    <s v="U5682"/>
    <n v="29823.39"/>
    <s v="Withdrawal"/>
    <s v="UPI"/>
    <s v="iOS"/>
    <s v="Hyderabad"/>
    <n v="12"/>
    <x v="14"/>
    <n v="0"/>
    <n v="14580.35"/>
    <n v="1"/>
    <n v="0.33100000000000002"/>
    <n v="7"/>
    <x v="2"/>
  </r>
  <r>
    <s v="T6730"/>
    <s v="U6800"/>
    <n v="40372.720000000001"/>
    <s v="Withdrawal"/>
    <s v="Card"/>
    <s v="Web"/>
    <s v="Mumbai"/>
    <n v="1168"/>
    <x v="14"/>
    <n v="4"/>
    <n v="19845.490000000002"/>
    <n v="0"/>
    <n v="0.11600000000000001"/>
    <n v="7"/>
    <x v="2"/>
  </r>
  <r>
    <s v="T6751"/>
    <s v="U8497"/>
    <n v="14405.76"/>
    <s v="Withdrawal"/>
    <s v="NetBanking"/>
    <s v="Android"/>
    <s v="Chennai"/>
    <n v="1526"/>
    <x v="11"/>
    <n v="2"/>
    <n v="17329.39"/>
    <n v="0"/>
    <n v="0.39"/>
    <n v="1"/>
    <x v="2"/>
  </r>
  <r>
    <s v="T6771"/>
    <s v="U9249"/>
    <n v="5686.39"/>
    <s v="Transfer"/>
    <s v="NetBanking"/>
    <s v="Web"/>
    <s v="Delhi"/>
    <n v="742"/>
    <x v="16"/>
    <n v="4"/>
    <n v="19854.16"/>
    <n v="0"/>
    <n v="0.14399999999999999"/>
    <n v="2"/>
    <x v="2"/>
  </r>
  <r>
    <s v="T6777"/>
    <s v="U2334"/>
    <n v="36852.89"/>
    <s v="Withdrawal"/>
    <s v="Card"/>
    <s v="Android"/>
    <s v="Mumbai"/>
    <n v="552"/>
    <x v="4"/>
    <n v="1"/>
    <n v="7038.78"/>
    <n v="0"/>
    <n v="7.8E-2"/>
    <n v="5"/>
    <x v="2"/>
  </r>
  <r>
    <s v="T6782"/>
    <s v="U7109"/>
    <n v="24120.91"/>
    <s v="Payment"/>
    <s v="UPI"/>
    <s v="Android"/>
    <s v="Mumbai"/>
    <n v="954"/>
    <x v="6"/>
    <n v="4"/>
    <n v="11138.86"/>
    <n v="1"/>
    <n v="0.79400000000000004"/>
    <n v="3"/>
    <x v="2"/>
  </r>
  <r>
    <s v="T6787"/>
    <s v="U7720"/>
    <n v="46939.03"/>
    <s v="Withdrawal"/>
    <s v="UPI"/>
    <s v="iOS"/>
    <s v="Hyderabad"/>
    <n v="411"/>
    <x v="19"/>
    <n v="4"/>
    <n v="26161.19"/>
    <n v="1"/>
    <n v="0.88200000000000001"/>
    <n v="1"/>
    <x v="2"/>
  </r>
  <r>
    <s v="T6808"/>
    <s v="U1902"/>
    <n v="21344.6"/>
    <s v="Transfer"/>
    <s v="NetBanking"/>
    <s v="iOS"/>
    <s v="Delhi"/>
    <n v="1269"/>
    <x v="2"/>
    <n v="4"/>
    <n v="22927.8"/>
    <n v="0"/>
    <n v="0.95499999999999996"/>
    <n v="9"/>
    <x v="2"/>
  </r>
  <r>
    <s v="T6834"/>
    <s v="U7539"/>
    <n v="45930.15"/>
    <s v="Withdrawal"/>
    <s v="NetBanking"/>
    <s v="Web"/>
    <s v="Bangalore"/>
    <n v="1267"/>
    <x v="14"/>
    <n v="1"/>
    <n v="28780.63"/>
    <n v="0"/>
    <n v="0.67600000000000005"/>
    <n v="1"/>
    <x v="2"/>
  </r>
  <r>
    <s v="T6870"/>
    <s v="U3956"/>
    <n v="47901.07"/>
    <s v="Payment"/>
    <s v="Card"/>
    <s v="Android"/>
    <s v="Chennai"/>
    <n v="938"/>
    <x v="12"/>
    <n v="2"/>
    <n v="28313.279999999999"/>
    <n v="0"/>
    <n v="0.17"/>
    <n v="2"/>
    <x v="2"/>
  </r>
  <r>
    <s v="T6872"/>
    <s v="U9402"/>
    <n v="4191.58"/>
    <s v="Payment"/>
    <s v="Card"/>
    <s v="Web"/>
    <s v="Mumbai"/>
    <n v="1477"/>
    <x v="3"/>
    <n v="4"/>
    <n v="21337.96"/>
    <n v="0"/>
    <n v="0.64100000000000001"/>
    <n v="1"/>
    <x v="2"/>
  </r>
  <r>
    <s v="T6875"/>
    <s v="U5999"/>
    <n v="42803.46"/>
    <s v="Transfer"/>
    <s v="NetBanking"/>
    <s v="iOS"/>
    <s v="Chennai"/>
    <n v="773"/>
    <x v="10"/>
    <n v="3"/>
    <n v="29791.98"/>
    <n v="1"/>
    <n v="0.20399999999999999"/>
    <n v="6"/>
    <x v="2"/>
  </r>
  <r>
    <s v="T6887"/>
    <s v="U7170"/>
    <n v="10383.25"/>
    <s v="Transfer"/>
    <s v="NetBanking"/>
    <s v="Android"/>
    <s v="Mumbai"/>
    <n v="868"/>
    <x v="4"/>
    <n v="4"/>
    <n v="2648.21"/>
    <n v="0"/>
    <n v="4.1000000000000002E-2"/>
    <n v="1"/>
    <x v="2"/>
  </r>
  <r>
    <s v="T6911"/>
    <s v="U9663"/>
    <n v="20832.73"/>
    <s v="Payment"/>
    <s v="UPI"/>
    <s v="iOS"/>
    <s v="Chennai"/>
    <n v="1532"/>
    <x v="13"/>
    <n v="3"/>
    <n v="1496"/>
    <n v="0"/>
    <n v="0.92400000000000004"/>
    <n v="3"/>
    <x v="2"/>
  </r>
  <r>
    <s v="T6914"/>
    <s v="U8556"/>
    <n v="10807.2"/>
    <s v="Transfer"/>
    <s v="UPI"/>
    <s v="Android"/>
    <s v="Hyderabad"/>
    <n v="1593"/>
    <x v="15"/>
    <n v="3"/>
    <n v="23266.05"/>
    <n v="0"/>
    <n v="0.48"/>
    <n v="4"/>
    <x v="2"/>
  </r>
  <r>
    <s v="T6928"/>
    <s v="U4331"/>
    <n v="32475.24"/>
    <s v="Payment"/>
    <s v="Wallet"/>
    <s v="iOS"/>
    <s v="Hyderabad"/>
    <n v="465"/>
    <x v="5"/>
    <n v="4"/>
    <n v="21024.7"/>
    <n v="0"/>
    <n v="0.81699999999999995"/>
    <n v="1"/>
    <x v="2"/>
  </r>
  <r>
    <s v="T6948"/>
    <s v="U9124"/>
    <n v="11472.1"/>
    <s v="Withdrawal"/>
    <s v="Wallet"/>
    <s v="iOS"/>
    <s v="Mumbai"/>
    <n v="912"/>
    <x v="6"/>
    <n v="3"/>
    <n v="9159.49"/>
    <n v="0"/>
    <n v="0.98099999999999998"/>
    <n v="2"/>
    <x v="2"/>
  </r>
  <r>
    <s v="T6963"/>
    <s v="U2703"/>
    <n v="47687.5"/>
    <s v="Transfer"/>
    <s v="Card"/>
    <s v="iOS"/>
    <s v="Hyderabad"/>
    <n v="1613"/>
    <x v="5"/>
    <n v="2"/>
    <n v="18043.52"/>
    <n v="0"/>
    <n v="0.27600000000000002"/>
    <n v="4"/>
    <x v="2"/>
  </r>
  <r>
    <s v="T6969"/>
    <s v="U7774"/>
    <n v="33040.46"/>
    <s v="Transfer"/>
    <s v="UPI"/>
    <s v="iOS"/>
    <s v="Mumbai"/>
    <n v="1442"/>
    <x v="9"/>
    <n v="2"/>
    <n v="13545.32"/>
    <n v="0"/>
    <n v="0.91500000000000004"/>
    <n v="5"/>
    <x v="2"/>
  </r>
  <r>
    <s v="T6978"/>
    <s v="U5291"/>
    <n v="41404.85"/>
    <s v="Withdrawal"/>
    <s v="UPI"/>
    <s v="iOS"/>
    <s v="Hyderabad"/>
    <n v="1590"/>
    <x v="12"/>
    <n v="1"/>
    <n v="29560.31"/>
    <n v="0"/>
    <n v="0.32"/>
    <n v="7"/>
    <x v="2"/>
  </r>
  <r>
    <s v="T6988"/>
    <s v="U3449"/>
    <n v="23561.759999999998"/>
    <s v="Payment"/>
    <s v="NetBanking"/>
    <s v="Web"/>
    <s v="Chennai"/>
    <n v="337"/>
    <x v="6"/>
    <n v="3"/>
    <n v="27324.31"/>
    <n v="0"/>
    <n v="0.96099999999999997"/>
    <n v="5"/>
    <x v="2"/>
  </r>
  <r>
    <s v="T7024"/>
    <s v="U6597"/>
    <n v="39643.49"/>
    <s v="Transfer"/>
    <s v="NetBanking"/>
    <s v="Android"/>
    <s v="Hyderabad"/>
    <n v="811"/>
    <x v="2"/>
    <n v="2"/>
    <n v="15591.46"/>
    <n v="0"/>
    <n v="8.8999999999999996E-2"/>
    <n v="9"/>
    <x v="2"/>
  </r>
  <r>
    <s v="T7030"/>
    <s v="U6485"/>
    <n v="7653.8"/>
    <s v="Transfer"/>
    <s v="Wallet"/>
    <s v="iOS"/>
    <s v="Hyderabad"/>
    <n v="1221"/>
    <x v="0"/>
    <n v="3"/>
    <n v="12306.7"/>
    <n v="1"/>
    <n v="7.3999999999999996E-2"/>
    <n v="1"/>
    <x v="2"/>
  </r>
  <r>
    <s v="T7035"/>
    <s v="U2675"/>
    <n v="22314.2"/>
    <s v="Withdrawal"/>
    <s v="Wallet"/>
    <s v="iOS"/>
    <s v="Bangalore"/>
    <n v="1730"/>
    <x v="0"/>
    <n v="4"/>
    <n v="14059.59"/>
    <n v="0"/>
    <n v="0.77300000000000002"/>
    <n v="9"/>
    <x v="2"/>
  </r>
  <r>
    <s v="T7047"/>
    <s v="U9003"/>
    <n v="36489.599999999999"/>
    <s v="Transfer"/>
    <s v="Card"/>
    <s v="Web"/>
    <s v="Bangalore"/>
    <n v="1961"/>
    <x v="21"/>
    <n v="2"/>
    <n v="22337.55"/>
    <n v="0"/>
    <n v="0.47899999999999998"/>
    <n v="1"/>
    <x v="2"/>
  </r>
  <r>
    <s v="T7074"/>
    <s v="U4487"/>
    <n v="3767.7"/>
    <s v="Payment"/>
    <s v="UPI"/>
    <s v="Web"/>
    <s v="Chennai"/>
    <n v="1407"/>
    <x v="22"/>
    <n v="0"/>
    <n v="6700.86"/>
    <n v="0"/>
    <n v="3.9E-2"/>
    <n v="5"/>
    <x v="2"/>
  </r>
  <r>
    <s v="T7092"/>
    <s v="U9045"/>
    <n v="46165.03"/>
    <s v="Payment"/>
    <s v="Card"/>
    <s v="Web"/>
    <s v="Mumbai"/>
    <n v="173"/>
    <x v="16"/>
    <n v="4"/>
    <n v="13281.37"/>
    <n v="0"/>
    <n v="0.70299999999999996"/>
    <n v="9"/>
    <x v="2"/>
  </r>
  <r>
    <s v="T7094"/>
    <s v="U5825"/>
    <n v="6398.78"/>
    <s v="Transfer"/>
    <s v="NetBanking"/>
    <s v="iOS"/>
    <s v="Chennai"/>
    <n v="790"/>
    <x v="0"/>
    <n v="2"/>
    <n v="29169.5"/>
    <n v="0"/>
    <n v="0.36299999999999999"/>
    <n v="9"/>
    <x v="2"/>
  </r>
  <r>
    <s v="T7110"/>
    <s v="U3017"/>
    <n v="20824.89"/>
    <s v="Transfer"/>
    <s v="Card"/>
    <s v="Android"/>
    <s v="Mumbai"/>
    <n v="1027"/>
    <x v="17"/>
    <n v="4"/>
    <n v="18811.259999999998"/>
    <n v="0"/>
    <n v="0.20100000000000001"/>
    <n v="1"/>
    <x v="2"/>
  </r>
  <r>
    <s v="T7117"/>
    <s v="U6081"/>
    <n v="40228.5"/>
    <s v="Transfer"/>
    <s v="UPI"/>
    <s v="iOS"/>
    <s v="Delhi"/>
    <n v="1331"/>
    <x v="18"/>
    <n v="4"/>
    <n v="16342.3"/>
    <n v="0"/>
    <n v="0.89100000000000001"/>
    <n v="3"/>
    <x v="2"/>
  </r>
  <r>
    <s v="T7144"/>
    <s v="U2948"/>
    <n v="13277.58"/>
    <s v="Withdrawal"/>
    <s v="NetBanking"/>
    <s v="iOS"/>
    <s v="Delhi"/>
    <n v="1571"/>
    <x v="17"/>
    <n v="2"/>
    <n v="4445.91"/>
    <n v="1"/>
    <n v="0.67600000000000005"/>
    <n v="6"/>
    <x v="2"/>
  </r>
  <r>
    <s v="T7150"/>
    <s v="U5023"/>
    <n v="30909.77"/>
    <s v="Transfer"/>
    <s v="NetBanking"/>
    <s v="Android"/>
    <s v="Hyderabad"/>
    <n v="533"/>
    <x v="8"/>
    <n v="2"/>
    <n v="14019.7"/>
    <n v="0"/>
    <n v="0.82399999999999995"/>
    <n v="1"/>
    <x v="2"/>
  </r>
  <r>
    <s v="T7166"/>
    <s v="U3513"/>
    <n v="2645.71"/>
    <s v="Withdrawal"/>
    <s v="NetBanking"/>
    <s v="Android"/>
    <s v="Chennai"/>
    <n v="889"/>
    <x v="15"/>
    <n v="3"/>
    <n v="19618.509999999998"/>
    <n v="0"/>
    <n v="0.68"/>
    <n v="1"/>
    <x v="2"/>
  </r>
  <r>
    <s v="T7169"/>
    <s v="U3289"/>
    <n v="13157.68"/>
    <s v="Payment"/>
    <s v="Wallet"/>
    <s v="iOS"/>
    <s v="Delhi"/>
    <n v="1823"/>
    <x v="14"/>
    <n v="2"/>
    <n v="10873.9"/>
    <n v="0"/>
    <n v="0.56699999999999995"/>
    <n v="2"/>
    <x v="2"/>
  </r>
  <r>
    <s v="T7185"/>
    <s v="U6265"/>
    <n v="11443.61"/>
    <s v="Payment"/>
    <s v="NetBanking"/>
    <s v="Web"/>
    <s v="Bangalore"/>
    <n v="1821"/>
    <x v="20"/>
    <n v="4"/>
    <n v="24974.09"/>
    <n v="0"/>
    <n v="0.98399999999999999"/>
    <n v="5"/>
    <x v="2"/>
  </r>
  <r>
    <s v="T7188"/>
    <s v="U5713"/>
    <n v="19027.22"/>
    <s v="Withdrawal"/>
    <s v="UPI"/>
    <s v="Android"/>
    <s v="Hyderabad"/>
    <n v="119"/>
    <x v="4"/>
    <n v="2"/>
    <n v="14224.74"/>
    <n v="0"/>
    <n v="0.96699999999999997"/>
    <n v="4"/>
    <x v="2"/>
  </r>
  <r>
    <s v="T7194"/>
    <s v="U2919"/>
    <n v="8861.77"/>
    <s v="Transfer"/>
    <s v="NetBanking"/>
    <s v="iOS"/>
    <s v="Chennai"/>
    <n v="848"/>
    <x v="16"/>
    <n v="4"/>
    <n v="17105.080000000002"/>
    <n v="0"/>
    <n v="0.68799999999999994"/>
    <n v="2"/>
    <x v="2"/>
  </r>
  <r>
    <s v="T7231"/>
    <s v="U6254"/>
    <n v="515.04999999999995"/>
    <s v="Payment"/>
    <s v="Wallet"/>
    <s v="Web"/>
    <s v="Bangalore"/>
    <n v="412"/>
    <x v="1"/>
    <n v="1"/>
    <n v="13137.36"/>
    <n v="0"/>
    <n v="0.51"/>
    <n v="3"/>
    <x v="2"/>
  </r>
  <r>
    <s v="T7252"/>
    <s v="U8553"/>
    <n v="45721.31"/>
    <s v="Withdrawal"/>
    <s v="Card"/>
    <s v="Web"/>
    <s v="Chennai"/>
    <n v="1889"/>
    <x v="10"/>
    <n v="2"/>
    <n v="24242.85"/>
    <n v="0"/>
    <n v="1.2999999999999999E-2"/>
    <n v="1"/>
    <x v="2"/>
  </r>
  <r>
    <s v="T7270"/>
    <s v="U4113"/>
    <n v="17782.009999999998"/>
    <s v="Payment"/>
    <s v="NetBanking"/>
    <s v="Android"/>
    <s v="Delhi"/>
    <n v="1817"/>
    <x v="18"/>
    <n v="1"/>
    <n v="16982.53"/>
    <n v="0"/>
    <n v="0.91500000000000004"/>
    <n v="3"/>
    <x v="2"/>
  </r>
  <r>
    <s v="T7301"/>
    <s v="U4226"/>
    <n v="6495.37"/>
    <s v="Payment"/>
    <s v="NetBanking"/>
    <s v="Android"/>
    <s v="Mumbai"/>
    <n v="1460"/>
    <x v="11"/>
    <n v="3"/>
    <n v="2119.6799999999998"/>
    <n v="0"/>
    <n v="0.316"/>
    <n v="8"/>
    <x v="2"/>
  </r>
  <r>
    <s v="T7303"/>
    <s v="U6650"/>
    <n v="13771.52"/>
    <s v="Transfer"/>
    <s v="UPI"/>
    <s v="Web"/>
    <s v="Hyderabad"/>
    <n v="121"/>
    <x v="14"/>
    <n v="0"/>
    <n v="8624.24"/>
    <n v="0"/>
    <n v="5.5E-2"/>
    <n v="6"/>
    <x v="2"/>
  </r>
  <r>
    <s v="T7316"/>
    <s v="U5414"/>
    <n v="49468.01"/>
    <s v="Transfer"/>
    <s v="UPI"/>
    <s v="Android"/>
    <s v="Bangalore"/>
    <n v="1054"/>
    <x v="10"/>
    <n v="2"/>
    <n v="15686.81"/>
    <n v="0"/>
    <n v="0.46100000000000002"/>
    <n v="9"/>
    <x v="2"/>
  </r>
  <r>
    <s v="T7317"/>
    <s v="U4827"/>
    <n v="2012.63"/>
    <s v="Payment"/>
    <s v="UPI"/>
    <s v="Web"/>
    <s v="Mumbai"/>
    <n v="1721"/>
    <x v="17"/>
    <n v="0"/>
    <n v="13277.11"/>
    <n v="0"/>
    <n v="0.69199999999999995"/>
    <n v="7"/>
    <x v="2"/>
  </r>
  <r>
    <s v="T7352"/>
    <s v="U8927"/>
    <n v="2157.91"/>
    <s v="Withdrawal"/>
    <s v="Card"/>
    <s v="iOS"/>
    <s v="Hyderabad"/>
    <n v="1556"/>
    <x v="6"/>
    <n v="1"/>
    <n v="25085.59"/>
    <n v="0"/>
    <n v="0.17399999999999999"/>
    <n v="6"/>
    <x v="2"/>
  </r>
  <r>
    <s v="T7353"/>
    <s v="U6579"/>
    <n v="24839.94"/>
    <s v="Transfer"/>
    <s v="NetBanking"/>
    <s v="iOS"/>
    <s v="Mumbai"/>
    <n v="1848"/>
    <x v="20"/>
    <n v="3"/>
    <n v="24622.16"/>
    <n v="0"/>
    <n v="0.91500000000000004"/>
    <n v="4"/>
    <x v="2"/>
  </r>
  <r>
    <s v="T7364"/>
    <s v="U6223"/>
    <n v="42487.53"/>
    <s v="Payment"/>
    <s v="UPI"/>
    <s v="iOS"/>
    <s v="Delhi"/>
    <n v="832"/>
    <x v="3"/>
    <n v="1"/>
    <n v="2005.96"/>
    <n v="0"/>
    <n v="0.18"/>
    <n v="3"/>
    <x v="2"/>
  </r>
  <r>
    <s v="T7375"/>
    <s v="U7896"/>
    <n v="6091.99"/>
    <s v="Payment"/>
    <s v="Card"/>
    <s v="Android"/>
    <s v="Bangalore"/>
    <n v="1971"/>
    <x v="16"/>
    <n v="0"/>
    <n v="25185.48"/>
    <n v="0"/>
    <n v="0.49299999999999999"/>
    <n v="5"/>
    <x v="2"/>
  </r>
  <r>
    <s v="T7382"/>
    <s v="U4006"/>
    <n v="8780.6"/>
    <s v="Payment"/>
    <s v="Card"/>
    <s v="Android"/>
    <s v="Delhi"/>
    <n v="1427"/>
    <x v="17"/>
    <n v="3"/>
    <n v="2845.39"/>
    <n v="0"/>
    <n v="0.27600000000000002"/>
    <n v="9"/>
    <x v="2"/>
  </r>
  <r>
    <s v="T7394"/>
    <s v="U6706"/>
    <n v="26852.080000000002"/>
    <s v="Withdrawal"/>
    <s v="Card"/>
    <s v="Android"/>
    <s v="Chennai"/>
    <n v="1451"/>
    <x v="11"/>
    <n v="1"/>
    <n v="17863.009999999998"/>
    <n v="0"/>
    <n v="0.47299999999999998"/>
    <n v="3"/>
    <x v="2"/>
  </r>
  <r>
    <s v="T7415"/>
    <s v="U7783"/>
    <n v="24288.52"/>
    <s v="Transfer"/>
    <s v="UPI"/>
    <s v="Web"/>
    <s v="Chennai"/>
    <n v="23"/>
    <x v="8"/>
    <n v="4"/>
    <n v="14294.75"/>
    <n v="0"/>
    <n v="0.41299999999999998"/>
    <n v="4"/>
    <x v="2"/>
  </r>
  <r>
    <s v="T7422"/>
    <s v="U3944"/>
    <n v="34519.26"/>
    <s v="Withdrawal"/>
    <s v="Card"/>
    <s v="Android"/>
    <s v="Chennai"/>
    <n v="1527"/>
    <x v="5"/>
    <n v="3"/>
    <n v="17741.98"/>
    <n v="0"/>
    <n v="0.59099999999999997"/>
    <n v="8"/>
    <x v="2"/>
  </r>
  <r>
    <s v="T7448"/>
    <s v="U4970"/>
    <n v="12838.26"/>
    <s v="Payment"/>
    <s v="Card"/>
    <s v="Web"/>
    <s v="Mumbai"/>
    <n v="417"/>
    <x v="6"/>
    <n v="3"/>
    <n v="6880.37"/>
    <n v="1"/>
    <n v="0.29699999999999999"/>
    <n v="7"/>
    <x v="2"/>
  </r>
  <r>
    <s v="T7450"/>
    <s v="U5699"/>
    <n v="5857.87"/>
    <s v="Payment"/>
    <s v="Card"/>
    <s v="Android"/>
    <s v="Mumbai"/>
    <n v="1864"/>
    <x v="18"/>
    <n v="0"/>
    <n v="20562.29"/>
    <n v="0"/>
    <n v="0.99099999999999999"/>
    <n v="7"/>
    <x v="2"/>
  </r>
  <r>
    <s v="T7458"/>
    <s v="U1625"/>
    <n v="20265.060000000001"/>
    <s v="Withdrawal"/>
    <s v="UPI"/>
    <s v="Web"/>
    <s v="Hyderabad"/>
    <n v="104"/>
    <x v="11"/>
    <n v="3"/>
    <n v="10055.780000000001"/>
    <n v="0"/>
    <n v="0.97299999999999998"/>
    <n v="7"/>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0">
  <r>
    <x v="0"/>
    <s v="U3756"/>
    <n v="18758.28"/>
    <x v="0"/>
    <x v="0"/>
    <x v="0"/>
    <x v="0"/>
    <n v="895"/>
    <n v="14"/>
    <n v="1"/>
    <n v="25535.84"/>
    <n v="0"/>
    <n v="0.71799999999999997"/>
    <n v="4"/>
    <x v="0"/>
  </r>
  <r>
    <x v="1"/>
    <s v="U7899"/>
    <n v="47538.18"/>
    <x v="1"/>
    <x v="1"/>
    <x v="1"/>
    <x v="0"/>
    <n v="918"/>
    <n v="21"/>
    <n v="0"/>
    <n v="3955.85"/>
    <n v="0"/>
    <n v="0.52500000000000002"/>
    <n v="9"/>
    <x v="0"/>
  </r>
  <r>
    <x v="2"/>
    <s v="U1765"/>
    <n v="36613.1"/>
    <x v="1"/>
    <x v="2"/>
    <x v="2"/>
    <x v="1"/>
    <n v="1506"/>
    <n v="8"/>
    <n v="4"/>
    <n v="22727.71"/>
    <n v="0"/>
    <n v="0.98499999999999999"/>
    <n v="9"/>
    <x v="0"/>
  </r>
  <r>
    <x v="3"/>
    <s v="U8850"/>
    <n v="29952.99"/>
    <x v="1"/>
    <x v="1"/>
    <x v="1"/>
    <x v="1"/>
    <n v="800"/>
    <n v="1"/>
    <n v="3"/>
    <n v="18095.89"/>
    <n v="0"/>
    <n v="0.79700000000000004"/>
    <n v="2"/>
    <x v="0"/>
  </r>
  <r>
    <x v="4"/>
    <s v="U9049"/>
    <n v="7843.13"/>
    <x v="1"/>
    <x v="0"/>
    <x v="0"/>
    <x v="2"/>
    <n v="301"/>
    <n v="4"/>
    <n v="1"/>
    <n v="9317.49"/>
    <n v="1"/>
    <n v="0.46800000000000003"/>
    <n v="1"/>
    <x v="0"/>
  </r>
  <r>
    <x v="5"/>
    <s v="U1787"/>
    <n v="7841.93"/>
    <x v="0"/>
    <x v="3"/>
    <x v="0"/>
    <x v="0"/>
    <n v="1992"/>
    <n v="20"/>
    <n v="3"/>
    <n v="4177.2299999999996"/>
    <n v="0"/>
    <n v="0.58299999999999996"/>
    <n v="3"/>
    <x v="0"/>
  </r>
  <r>
    <x v="6"/>
    <s v="U8763"/>
    <n v="2951.28"/>
    <x v="0"/>
    <x v="0"/>
    <x v="2"/>
    <x v="0"/>
    <n v="1285"/>
    <n v="22"/>
    <n v="4"/>
    <n v="11451.45"/>
    <n v="0"/>
    <n v="4.4999999999999998E-2"/>
    <n v="8"/>
    <x v="1"/>
  </r>
  <r>
    <x v="7"/>
    <s v="U1439"/>
    <n v="43315.5"/>
    <x v="0"/>
    <x v="0"/>
    <x v="0"/>
    <x v="0"/>
    <n v="1621"/>
    <n v="4"/>
    <n v="4"/>
    <n v="13297.18"/>
    <n v="0"/>
    <n v="0.96499999999999997"/>
    <n v="4"/>
    <x v="0"/>
  </r>
  <r>
    <x v="8"/>
    <s v="U6660"/>
    <n v="30075.69"/>
    <x v="0"/>
    <x v="0"/>
    <x v="2"/>
    <x v="3"/>
    <n v="184"/>
    <n v="11"/>
    <n v="0"/>
    <n v="4308.8"/>
    <n v="0"/>
    <n v="0.36299999999999999"/>
    <n v="5"/>
    <x v="0"/>
  </r>
  <r>
    <x v="9"/>
    <s v="U3566"/>
    <n v="35418.230000000003"/>
    <x v="1"/>
    <x v="2"/>
    <x v="1"/>
    <x v="0"/>
    <n v="118"/>
    <n v="9"/>
    <n v="3"/>
    <n v="20136.79"/>
    <n v="0"/>
    <n v="0.66200000000000003"/>
    <n v="5"/>
    <x v="0"/>
  </r>
  <r>
    <x v="10"/>
    <s v="U7074"/>
    <n v="1078.2"/>
    <x v="2"/>
    <x v="1"/>
    <x v="1"/>
    <x v="3"/>
    <n v="971"/>
    <n v="3"/>
    <n v="4"/>
    <n v="9282.58"/>
    <n v="0"/>
    <n v="0.66700000000000004"/>
    <n v="2"/>
    <x v="0"/>
  </r>
  <r>
    <x v="11"/>
    <s v="U4776"/>
    <n v="48497"/>
    <x v="0"/>
    <x v="3"/>
    <x v="2"/>
    <x v="2"/>
    <n v="1373"/>
    <n v="11"/>
    <n v="2"/>
    <n v="24200.58"/>
    <n v="0"/>
    <n v="5.7000000000000002E-2"/>
    <n v="1"/>
    <x v="0"/>
  </r>
  <r>
    <x v="12"/>
    <s v="U2955"/>
    <n v="41630.51"/>
    <x v="0"/>
    <x v="2"/>
    <x v="1"/>
    <x v="4"/>
    <n v="857"/>
    <n v="14"/>
    <n v="4"/>
    <n v="19485.63"/>
    <n v="0"/>
    <n v="0.26600000000000001"/>
    <n v="8"/>
    <x v="0"/>
  </r>
  <r>
    <x v="13"/>
    <s v="U8947"/>
    <n v="10656.34"/>
    <x v="1"/>
    <x v="0"/>
    <x v="2"/>
    <x v="0"/>
    <n v="1047"/>
    <n v="9"/>
    <n v="4"/>
    <n v="9384.02"/>
    <n v="0"/>
    <n v="0.65600000000000003"/>
    <n v="5"/>
    <x v="0"/>
  </r>
  <r>
    <x v="14"/>
    <s v="U7312"/>
    <n v="9132.16"/>
    <x v="1"/>
    <x v="3"/>
    <x v="1"/>
    <x v="1"/>
    <n v="702"/>
    <n v="17"/>
    <n v="3"/>
    <n v="10864.59"/>
    <n v="0"/>
    <n v="0.91200000000000003"/>
    <n v="2"/>
    <x v="0"/>
  </r>
  <r>
    <x v="15"/>
    <s v="U2252"/>
    <n v="9211.06"/>
    <x v="1"/>
    <x v="0"/>
    <x v="1"/>
    <x v="1"/>
    <n v="1355"/>
    <n v="23"/>
    <n v="4"/>
    <n v="28270.21"/>
    <n v="0"/>
    <n v="0.77900000000000003"/>
    <n v="7"/>
    <x v="0"/>
  </r>
  <r>
    <x v="16"/>
    <s v="U2234"/>
    <n v="15246.9"/>
    <x v="1"/>
    <x v="0"/>
    <x v="0"/>
    <x v="0"/>
    <n v="1978"/>
    <n v="4"/>
    <n v="1"/>
    <n v="28448.77"/>
    <n v="0"/>
    <n v="0.57999999999999996"/>
    <n v="2"/>
    <x v="0"/>
  </r>
  <r>
    <x v="17"/>
    <s v="U5276"/>
    <n v="26261.58"/>
    <x v="2"/>
    <x v="0"/>
    <x v="0"/>
    <x v="3"/>
    <n v="1817"/>
    <n v="12"/>
    <n v="4"/>
    <n v="12609.29"/>
    <n v="0"/>
    <n v="0.23200000000000001"/>
    <n v="6"/>
    <x v="0"/>
  </r>
  <r>
    <x v="18"/>
    <s v="U4164"/>
    <n v="21625.65"/>
    <x v="2"/>
    <x v="3"/>
    <x v="2"/>
    <x v="1"/>
    <n v="973"/>
    <n v="3"/>
    <n v="2"/>
    <n v="20407.189999999999"/>
    <n v="0"/>
    <n v="0.94899999999999995"/>
    <n v="9"/>
    <x v="0"/>
  </r>
  <r>
    <x v="19"/>
    <s v="U2630"/>
    <n v="14596.9"/>
    <x v="0"/>
    <x v="1"/>
    <x v="1"/>
    <x v="1"/>
    <n v="52"/>
    <n v="8"/>
    <n v="4"/>
    <n v="29401.17"/>
    <n v="0"/>
    <n v="0.40400000000000003"/>
    <n v="4"/>
    <x v="0"/>
  </r>
  <r>
    <x v="20"/>
    <s v="U9283"/>
    <n v="30612.05"/>
    <x v="2"/>
    <x v="0"/>
    <x v="1"/>
    <x v="2"/>
    <n v="470"/>
    <n v="17"/>
    <n v="0"/>
    <n v="29822.13"/>
    <n v="0"/>
    <n v="0.15"/>
    <n v="5"/>
    <x v="0"/>
  </r>
  <r>
    <x v="21"/>
    <s v="U6747"/>
    <n v="7017.72"/>
    <x v="0"/>
    <x v="1"/>
    <x v="1"/>
    <x v="2"/>
    <n v="1135"/>
    <n v="2"/>
    <n v="3"/>
    <n v="2256.81"/>
    <n v="0"/>
    <n v="2.1999999999999999E-2"/>
    <n v="1"/>
    <x v="0"/>
  </r>
  <r>
    <x v="22"/>
    <s v="U1181"/>
    <n v="14642.63"/>
    <x v="0"/>
    <x v="3"/>
    <x v="0"/>
    <x v="2"/>
    <n v="1658"/>
    <n v="23"/>
    <n v="2"/>
    <n v="16649.62"/>
    <n v="1"/>
    <n v="0.95"/>
    <n v="1"/>
    <x v="0"/>
  </r>
  <r>
    <x v="23"/>
    <s v="U4203"/>
    <n v="18349.77"/>
    <x v="2"/>
    <x v="3"/>
    <x v="2"/>
    <x v="1"/>
    <n v="714"/>
    <n v="10"/>
    <n v="1"/>
    <n v="21825.86"/>
    <n v="0"/>
    <n v="0.77800000000000002"/>
    <n v="9"/>
    <x v="0"/>
  </r>
  <r>
    <x v="24"/>
    <s v="U4808"/>
    <n v="22830.7"/>
    <x v="0"/>
    <x v="0"/>
    <x v="2"/>
    <x v="1"/>
    <n v="1042"/>
    <n v="3"/>
    <n v="4"/>
    <n v="5687.3"/>
    <n v="0"/>
    <n v="0.216"/>
    <n v="5"/>
    <x v="0"/>
  </r>
  <r>
    <x v="25"/>
    <s v="U3308"/>
    <n v="39269.54"/>
    <x v="1"/>
    <x v="1"/>
    <x v="2"/>
    <x v="0"/>
    <n v="158"/>
    <n v="8"/>
    <n v="4"/>
    <n v="24674.959999999999"/>
    <n v="0"/>
    <n v="0.14199999999999999"/>
    <n v="3"/>
    <x v="0"/>
  </r>
  <r>
    <x v="26"/>
    <s v="U1472"/>
    <n v="10023.709999999999"/>
    <x v="0"/>
    <x v="1"/>
    <x v="1"/>
    <x v="0"/>
    <n v="347"/>
    <n v="11"/>
    <n v="1"/>
    <n v="14106.78"/>
    <n v="0"/>
    <n v="0.95899999999999996"/>
    <n v="2"/>
    <x v="0"/>
  </r>
  <r>
    <x v="27"/>
    <s v="U8397"/>
    <n v="25736.01"/>
    <x v="1"/>
    <x v="0"/>
    <x v="2"/>
    <x v="3"/>
    <n v="1012"/>
    <n v="9"/>
    <n v="4"/>
    <n v="14982.77"/>
    <n v="0"/>
    <n v="0.24099999999999999"/>
    <n v="7"/>
    <x v="0"/>
  </r>
  <r>
    <x v="28"/>
    <s v="U9198"/>
    <n v="29641.11"/>
    <x v="2"/>
    <x v="2"/>
    <x v="0"/>
    <x v="1"/>
    <n v="233"/>
    <n v="9"/>
    <n v="0"/>
    <n v="8302.26"/>
    <n v="0"/>
    <n v="0.46200000000000002"/>
    <n v="4"/>
    <x v="0"/>
  </r>
  <r>
    <x v="29"/>
    <s v="U8334"/>
    <n v="2370.1999999999998"/>
    <x v="2"/>
    <x v="2"/>
    <x v="0"/>
    <x v="0"/>
    <n v="1143"/>
    <n v="8"/>
    <n v="2"/>
    <n v="9074.41"/>
    <n v="0"/>
    <n v="0.61099999999999999"/>
    <n v="3"/>
    <x v="0"/>
  </r>
  <r>
    <x v="30"/>
    <s v="U2407"/>
    <n v="30396.87"/>
    <x v="0"/>
    <x v="3"/>
    <x v="2"/>
    <x v="0"/>
    <n v="363"/>
    <n v="9"/>
    <n v="4"/>
    <n v="2616.7800000000002"/>
    <n v="0"/>
    <n v="6.2E-2"/>
    <n v="2"/>
    <x v="0"/>
  </r>
  <r>
    <x v="31"/>
    <s v="U7256"/>
    <n v="8567.68"/>
    <x v="1"/>
    <x v="3"/>
    <x v="1"/>
    <x v="2"/>
    <n v="1117"/>
    <n v="8"/>
    <n v="1"/>
    <n v="27952.33"/>
    <n v="0"/>
    <n v="0.34399999999999997"/>
    <n v="4"/>
    <x v="0"/>
  </r>
  <r>
    <x v="32"/>
    <s v="U5506"/>
    <n v="3299.33"/>
    <x v="0"/>
    <x v="2"/>
    <x v="0"/>
    <x v="2"/>
    <n v="564"/>
    <n v="0"/>
    <n v="1"/>
    <n v="11517.82"/>
    <n v="1"/>
    <n v="0.94399999999999995"/>
    <n v="9"/>
    <x v="0"/>
  </r>
  <r>
    <x v="33"/>
    <s v="U5582"/>
    <n v="47446.83"/>
    <x v="2"/>
    <x v="2"/>
    <x v="0"/>
    <x v="2"/>
    <n v="75"/>
    <n v="21"/>
    <n v="2"/>
    <n v="4950.68"/>
    <n v="0"/>
    <n v="0.7"/>
    <n v="7"/>
    <x v="0"/>
  </r>
  <r>
    <x v="34"/>
    <s v="U3759"/>
    <n v="48283.32"/>
    <x v="0"/>
    <x v="2"/>
    <x v="1"/>
    <x v="4"/>
    <n v="1421"/>
    <n v="15"/>
    <n v="0"/>
    <n v="4356.41"/>
    <n v="0"/>
    <n v="0.36799999999999999"/>
    <n v="1"/>
    <x v="0"/>
  </r>
  <r>
    <x v="35"/>
    <s v="U2802"/>
    <n v="40429.449999999997"/>
    <x v="0"/>
    <x v="0"/>
    <x v="1"/>
    <x v="0"/>
    <n v="1924"/>
    <n v="13"/>
    <n v="2"/>
    <n v="12281.44"/>
    <n v="0"/>
    <n v="0.79200000000000004"/>
    <n v="3"/>
    <x v="0"/>
  </r>
  <r>
    <x v="36"/>
    <s v="U8637"/>
    <n v="15265.46"/>
    <x v="1"/>
    <x v="0"/>
    <x v="2"/>
    <x v="2"/>
    <n v="630"/>
    <n v="12"/>
    <n v="4"/>
    <n v="19003.02"/>
    <n v="1"/>
    <n v="0.83699999999999997"/>
    <n v="5"/>
    <x v="0"/>
  </r>
  <r>
    <x v="37"/>
    <s v="U4639"/>
    <n v="4928.72"/>
    <x v="2"/>
    <x v="0"/>
    <x v="0"/>
    <x v="2"/>
    <n v="1647"/>
    <n v="5"/>
    <n v="0"/>
    <n v="23355.69"/>
    <n v="0"/>
    <n v="0.152"/>
    <n v="7"/>
    <x v="0"/>
  </r>
  <r>
    <x v="38"/>
    <s v="U3206"/>
    <n v="34227.440000000002"/>
    <x v="0"/>
    <x v="0"/>
    <x v="0"/>
    <x v="1"/>
    <n v="1168"/>
    <n v="13"/>
    <n v="0"/>
    <n v="27745.69"/>
    <n v="0"/>
    <n v="0.58699999999999997"/>
    <n v="5"/>
    <x v="0"/>
  </r>
  <r>
    <x v="39"/>
    <s v="U9553"/>
    <n v="22035.62"/>
    <x v="1"/>
    <x v="0"/>
    <x v="2"/>
    <x v="2"/>
    <n v="1119"/>
    <n v="7"/>
    <n v="1"/>
    <n v="19107.490000000002"/>
    <n v="0"/>
    <n v="0.36699999999999999"/>
    <n v="9"/>
    <x v="0"/>
  </r>
  <r>
    <x v="40"/>
    <s v="U4277"/>
    <n v="6145.81"/>
    <x v="0"/>
    <x v="0"/>
    <x v="2"/>
    <x v="1"/>
    <n v="93"/>
    <n v="22"/>
    <n v="0"/>
    <n v="12677.79"/>
    <n v="0"/>
    <n v="0.50700000000000001"/>
    <n v="7"/>
    <x v="0"/>
  </r>
  <r>
    <x v="41"/>
    <s v="U6751"/>
    <n v="24784.09"/>
    <x v="1"/>
    <x v="3"/>
    <x v="0"/>
    <x v="3"/>
    <n v="1987"/>
    <n v="22"/>
    <n v="4"/>
    <n v="12716.2"/>
    <n v="0"/>
    <n v="0.46899999999999997"/>
    <n v="1"/>
    <x v="0"/>
  </r>
  <r>
    <x v="42"/>
    <s v="U2054"/>
    <n v="1767.71"/>
    <x v="1"/>
    <x v="1"/>
    <x v="0"/>
    <x v="2"/>
    <n v="236"/>
    <n v="17"/>
    <n v="4"/>
    <n v="17273.87"/>
    <n v="0"/>
    <n v="0.504"/>
    <n v="6"/>
    <x v="0"/>
  </r>
  <r>
    <x v="43"/>
    <s v="U6523"/>
    <n v="45470.55"/>
    <x v="0"/>
    <x v="3"/>
    <x v="1"/>
    <x v="1"/>
    <n v="1293"/>
    <n v="19"/>
    <n v="4"/>
    <n v="16187.42"/>
    <n v="0"/>
    <n v="0.52200000000000002"/>
    <n v="2"/>
    <x v="0"/>
  </r>
  <r>
    <x v="44"/>
    <s v="U1346"/>
    <n v="12976.06"/>
    <x v="2"/>
    <x v="1"/>
    <x v="1"/>
    <x v="2"/>
    <n v="901"/>
    <n v="0"/>
    <n v="3"/>
    <n v="19260.36"/>
    <n v="0"/>
    <n v="6.9000000000000006E-2"/>
    <n v="6"/>
    <x v="0"/>
  </r>
  <r>
    <x v="45"/>
    <s v="U1899"/>
    <n v="33142.99"/>
    <x v="2"/>
    <x v="3"/>
    <x v="0"/>
    <x v="3"/>
    <n v="1022"/>
    <n v="11"/>
    <n v="0"/>
    <n v="15151.97"/>
    <n v="0"/>
    <n v="0.17799999999999999"/>
    <n v="3"/>
    <x v="0"/>
  </r>
  <r>
    <x v="46"/>
    <s v="U7634"/>
    <n v="15619.97"/>
    <x v="1"/>
    <x v="3"/>
    <x v="0"/>
    <x v="2"/>
    <n v="29"/>
    <n v="10"/>
    <n v="0"/>
    <n v="1863.83"/>
    <n v="1"/>
    <n v="0.56599999999999995"/>
    <n v="2"/>
    <x v="0"/>
  </r>
  <r>
    <x v="47"/>
    <s v="U6799"/>
    <n v="26027.4"/>
    <x v="2"/>
    <x v="0"/>
    <x v="1"/>
    <x v="1"/>
    <n v="1068"/>
    <n v="12"/>
    <n v="4"/>
    <n v="15071.78"/>
    <n v="1"/>
    <n v="0.93600000000000005"/>
    <n v="3"/>
    <x v="0"/>
  </r>
  <r>
    <x v="48"/>
    <s v="U9575"/>
    <n v="27358.18"/>
    <x v="1"/>
    <x v="0"/>
    <x v="2"/>
    <x v="3"/>
    <n v="1898"/>
    <n v="22"/>
    <n v="1"/>
    <n v="773.74"/>
    <n v="0"/>
    <n v="0.747"/>
    <n v="4"/>
    <x v="0"/>
  </r>
  <r>
    <x v="49"/>
    <s v="U6463"/>
    <n v="9283.48"/>
    <x v="2"/>
    <x v="1"/>
    <x v="2"/>
    <x v="3"/>
    <n v="764"/>
    <n v="3"/>
    <n v="0"/>
    <n v="5500.18"/>
    <n v="0"/>
    <n v="0.23899999999999999"/>
    <n v="1"/>
    <x v="0"/>
  </r>
  <r>
    <x v="50"/>
    <s v="U9688"/>
    <n v="48480.75"/>
    <x v="0"/>
    <x v="1"/>
    <x v="0"/>
    <x v="3"/>
    <n v="1476"/>
    <n v="5"/>
    <n v="3"/>
    <n v="11684.09"/>
    <n v="0"/>
    <n v="0.36199999999999999"/>
    <n v="4"/>
    <x v="0"/>
  </r>
  <r>
    <x v="51"/>
    <s v="U8581"/>
    <n v="38767.879999999997"/>
    <x v="2"/>
    <x v="0"/>
    <x v="0"/>
    <x v="4"/>
    <n v="950"/>
    <n v="21"/>
    <n v="0"/>
    <n v="16584.12"/>
    <n v="0"/>
    <n v="0.33500000000000002"/>
    <n v="6"/>
    <x v="0"/>
  </r>
  <r>
    <x v="52"/>
    <s v="U9669"/>
    <n v="46977.97"/>
    <x v="1"/>
    <x v="3"/>
    <x v="1"/>
    <x v="1"/>
    <n v="279"/>
    <n v="12"/>
    <n v="2"/>
    <n v="5626.06"/>
    <n v="0"/>
    <n v="0.77"/>
    <n v="5"/>
    <x v="0"/>
  </r>
  <r>
    <x v="53"/>
    <s v="U8665"/>
    <n v="44746.63"/>
    <x v="1"/>
    <x v="1"/>
    <x v="0"/>
    <x v="4"/>
    <n v="1768"/>
    <n v="23"/>
    <n v="3"/>
    <n v="8361.39"/>
    <n v="0"/>
    <n v="0.97199999999999998"/>
    <n v="5"/>
    <x v="0"/>
  </r>
  <r>
    <x v="54"/>
    <s v="U2603"/>
    <n v="29915.1"/>
    <x v="2"/>
    <x v="2"/>
    <x v="2"/>
    <x v="3"/>
    <n v="415"/>
    <n v="21"/>
    <n v="1"/>
    <n v="11288.91"/>
    <n v="0"/>
    <n v="0.35499999999999998"/>
    <n v="9"/>
    <x v="0"/>
  </r>
  <r>
    <x v="55"/>
    <s v="U1488"/>
    <n v="46097.62"/>
    <x v="0"/>
    <x v="2"/>
    <x v="1"/>
    <x v="4"/>
    <n v="1541"/>
    <n v="12"/>
    <n v="3"/>
    <n v="5996.73"/>
    <n v="0"/>
    <n v="1.4999999999999999E-2"/>
    <n v="9"/>
    <x v="0"/>
  </r>
  <r>
    <x v="56"/>
    <s v="U4896"/>
    <n v="4470.2"/>
    <x v="1"/>
    <x v="2"/>
    <x v="1"/>
    <x v="2"/>
    <n v="313"/>
    <n v="5"/>
    <n v="3"/>
    <n v="29963.03"/>
    <n v="0"/>
    <n v="0.93700000000000006"/>
    <n v="9"/>
    <x v="0"/>
  </r>
  <r>
    <x v="57"/>
    <s v="U7117"/>
    <n v="9839.34"/>
    <x v="1"/>
    <x v="1"/>
    <x v="2"/>
    <x v="4"/>
    <n v="1703"/>
    <n v="21"/>
    <n v="0"/>
    <n v="24160.93"/>
    <n v="1"/>
    <n v="0.753"/>
    <n v="7"/>
    <x v="0"/>
  </r>
  <r>
    <x v="58"/>
    <s v="U6287"/>
    <n v="2309.1"/>
    <x v="1"/>
    <x v="0"/>
    <x v="2"/>
    <x v="0"/>
    <n v="1318"/>
    <n v="3"/>
    <n v="3"/>
    <n v="24347"/>
    <n v="0"/>
    <n v="0.83399999999999996"/>
    <n v="9"/>
    <x v="0"/>
  </r>
  <r>
    <x v="59"/>
    <s v="U3018"/>
    <n v="16300.25"/>
    <x v="1"/>
    <x v="0"/>
    <x v="1"/>
    <x v="3"/>
    <n v="1581"/>
    <n v="20"/>
    <n v="4"/>
    <n v="17109.03"/>
    <n v="0"/>
    <n v="0.20899999999999999"/>
    <n v="8"/>
    <x v="0"/>
  </r>
  <r>
    <x v="60"/>
    <s v="U1357"/>
    <n v="19464.43"/>
    <x v="1"/>
    <x v="0"/>
    <x v="0"/>
    <x v="3"/>
    <n v="1018"/>
    <n v="2"/>
    <n v="3"/>
    <n v="28843.61"/>
    <n v="0"/>
    <n v="0.64600000000000002"/>
    <n v="8"/>
    <x v="0"/>
  </r>
  <r>
    <x v="61"/>
    <s v="U7561"/>
    <n v="13603.88"/>
    <x v="0"/>
    <x v="1"/>
    <x v="2"/>
    <x v="1"/>
    <n v="819"/>
    <n v="14"/>
    <n v="0"/>
    <n v="21992.799999999999"/>
    <n v="0"/>
    <n v="0.23300000000000001"/>
    <n v="5"/>
    <x v="0"/>
  </r>
  <r>
    <x v="62"/>
    <s v="U8749"/>
    <n v="41445.440000000002"/>
    <x v="2"/>
    <x v="1"/>
    <x v="1"/>
    <x v="2"/>
    <n v="1062"/>
    <n v="10"/>
    <n v="4"/>
    <n v="9993.27"/>
    <n v="0"/>
    <n v="1.2E-2"/>
    <n v="9"/>
    <x v="0"/>
  </r>
  <r>
    <x v="63"/>
    <s v="U1808"/>
    <n v="17869.830000000002"/>
    <x v="0"/>
    <x v="2"/>
    <x v="0"/>
    <x v="1"/>
    <n v="400"/>
    <n v="1"/>
    <n v="1"/>
    <n v="18354.75"/>
    <n v="0"/>
    <n v="0.157"/>
    <n v="8"/>
    <x v="0"/>
  </r>
  <r>
    <x v="64"/>
    <s v="U8448"/>
    <n v="14082.68"/>
    <x v="0"/>
    <x v="1"/>
    <x v="0"/>
    <x v="4"/>
    <n v="1449"/>
    <n v="22"/>
    <n v="2"/>
    <n v="16356.63"/>
    <n v="0"/>
    <n v="0.92300000000000004"/>
    <n v="7"/>
    <x v="0"/>
  </r>
  <r>
    <x v="65"/>
    <s v="U1709"/>
    <n v="27157.67"/>
    <x v="1"/>
    <x v="2"/>
    <x v="1"/>
    <x v="0"/>
    <n v="1942"/>
    <n v="16"/>
    <n v="3"/>
    <n v="17450.64"/>
    <n v="0"/>
    <n v="0.215"/>
    <n v="8"/>
    <x v="0"/>
  </r>
  <r>
    <x v="66"/>
    <s v="U9847"/>
    <n v="7089.17"/>
    <x v="0"/>
    <x v="2"/>
    <x v="2"/>
    <x v="0"/>
    <n v="1800"/>
    <n v="22"/>
    <n v="4"/>
    <n v="24550.03"/>
    <n v="0"/>
    <n v="0.58499999999999996"/>
    <n v="9"/>
    <x v="0"/>
  </r>
  <r>
    <x v="67"/>
    <s v="U1177"/>
    <n v="40119.74"/>
    <x v="1"/>
    <x v="0"/>
    <x v="0"/>
    <x v="0"/>
    <n v="918"/>
    <n v="1"/>
    <n v="4"/>
    <n v="15335.9"/>
    <n v="0"/>
    <n v="0.96799999999999997"/>
    <n v="7"/>
    <x v="0"/>
  </r>
  <r>
    <x v="68"/>
    <s v="U3551"/>
    <n v="3773.8"/>
    <x v="0"/>
    <x v="1"/>
    <x v="2"/>
    <x v="0"/>
    <n v="1983"/>
    <n v="20"/>
    <n v="1"/>
    <n v="21886.35"/>
    <n v="0"/>
    <n v="7.5999999999999998E-2"/>
    <n v="9"/>
    <x v="0"/>
  </r>
  <r>
    <x v="69"/>
    <s v="U5572"/>
    <n v="49345"/>
    <x v="1"/>
    <x v="0"/>
    <x v="1"/>
    <x v="2"/>
    <n v="151"/>
    <n v="0"/>
    <n v="1"/>
    <n v="7592.84"/>
    <n v="0"/>
    <n v="0.80800000000000005"/>
    <n v="8"/>
    <x v="0"/>
  </r>
  <r>
    <x v="70"/>
    <s v="U5611"/>
    <n v="38623.629999999997"/>
    <x v="1"/>
    <x v="0"/>
    <x v="2"/>
    <x v="4"/>
    <n v="655"/>
    <n v="4"/>
    <n v="2"/>
    <n v="27968.65"/>
    <n v="0"/>
    <n v="0.59799999999999998"/>
    <n v="2"/>
    <x v="0"/>
  </r>
  <r>
    <x v="71"/>
    <s v="U3282"/>
    <n v="9975.85"/>
    <x v="0"/>
    <x v="1"/>
    <x v="0"/>
    <x v="0"/>
    <n v="1689"/>
    <n v="19"/>
    <n v="2"/>
    <n v="2682.83"/>
    <n v="0"/>
    <n v="0.32300000000000001"/>
    <n v="3"/>
    <x v="0"/>
  </r>
  <r>
    <x v="72"/>
    <s v="U1105"/>
    <n v="325.83"/>
    <x v="0"/>
    <x v="1"/>
    <x v="1"/>
    <x v="3"/>
    <n v="818"/>
    <n v="16"/>
    <n v="0"/>
    <n v="29808.04"/>
    <n v="0"/>
    <n v="0.36399999999999999"/>
    <n v="6"/>
    <x v="0"/>
  </r>
  <r>
    <x v="73"/>
    <s v="U6842"/>
    <n v="40782.300000000003"/>
    <x v="2"/>
    <x v="3"/>
    <x v="0"/>
    <x v="4"/>
    <n v="957"/>
    <n v="0"/>
    <n v="2"/>
    <n v="19016.93"/>
    <n v="0"/>
    <n v="2.7E-2"/>
    <n v="6"/>
    <x v="0"/>
  </r>
  <r>
    <x v="74"/>
    <s v="U7788"/>
    <n v="35357.519999999997"/>
    <x v="2"/>
    <x v="2"/>
    <x v="0"/>
    <x v="2"/>
    <n v="1913"/>
    <n v="6"/>
    <n v="2"/>
    <n v="14151.55"/>
    <n v="1"/>
    <n v="0.25600000000000001"/>
    <n v="7"/>
    <x v="0"/>
  </r>
  <r>
    <x v="75"/>
    <s v="U4108"/>
    <n v="36463.910000000003"/>
    <x v="2"/>
    <x v="3"/>
    <x v="1"/>
    <x v="0"/>
    <n v="1374"/>
    <n v="2"/>
    <n v="4"/>
    <n v="9392.39"/>
    <n v="0"/>
    <n v="0.42299999999999999"/>
    <n v="2"/>
    <x v="0"/>
  </r>
  <r>
    <x v="76"/>
    <s v="U9241"/>
    <n v="38574.949999999997"/>
    <x v="0"/>
    <x v="2"/>
    <x v="1"/>
    <x v="2"/>
    <n v="254"/>
    <n v="15"/>
    <n v="3"/>
    <n v="12213.74"/>
    <n v="0"/>
    <n v="0.71699999999999997"/>
    <n v="1"/>
    <x v="0"/>
  </r>
  <r>
    <x v="77"/>
    <s v="U1267"/>
    <n v="3748.53"/>
    <x v="0"/>
    <x v="2"/>
    <x v="2"/>
    <x v="0"/>
    <n v="775"/>
    <n v="15"/>
    <n v="3"/>
    <n v="23494.46"/>
    <n v="1"/>
    <n v="0.27500000000000002"/>
    <n v="5"/>
    <x v="0"/>
  </r>
  <r>
    <x v="78"/>
    <s v="U5248"/>
    <n v="17955.36"/>
    <x v="1"/>
    <x v="2"/>
    <x v="1"/>
    <x v="3"/>
    <n v="885"/>
    <n v="11"/>
    <n v="2"/>
    <n v="4269.05"/>
    <n v="0"/>
    <n v="0.57999999999999996"/>
    <n v="2"/>
    <x v="0"/>
  </r>
  <r>
    <x v="79"/>
    <s v="U6998"/>
    <n v="5837.66"/>
    <x v="2"/>
    <x v="0"/>
    <x v="2"/>
    <x v="4"/>
    <n v="921"/>
    <n v="8"/>
    <n v="0"/>
    <n v="7655.29"/>
    <n v="0"/>
    <n v="0.73199999999999998"/>
    <n v="9"/>
    <x v="0"/>
  </r>
  <r>
    <x v="80"/>
    <s v="U3877"/>
    <n v="43162.02"/>
    <x v="1"/>
    <x v="0"/>
    <x v="1"/>
    <x v="3"/>
    <n v="1038"/>
    <n v="13"/>
    <n v="0"/>
    <n v="3799.45"/>
    <n v="0"/>
    <n v="0.69899999999999995"/>
    <n v="3"/>
    <x v="0"/>
  </r>
  <r>
    <x v="81"/>
    <s v="U1520"/>
    <n v="31183.74"/>
    <x v="1"/>
    <x v="1"/>
    <x v="0"/>
    <x v="0"/>
    <n v="929"/>
    <n v="11"/>
    <n v="3"/>
    <n v="12856.97"/>
    <n v="0"/>
    <n v="0.59"/>
    <n v="2"/>
    <x v="0"/>
  </r>
  <r>
    <x v="82"/>
    <s v="U1170"/>
    <n v="16578.36"/>
    <x v="1"/>
    <x v="2"/>
    <x v="2"/>
    <x v="1"/>
    <n v="948"/>
    <n v="15"/>
    <n v="1"/>
    <n v="11677.96"/>
    <n v="0"/>
    <n v="0.57999999999999996"/>
    <n v="7"/>
    <x v="0"/>
  </r>
  <r>
    <x v="83"/>
    <s v="U5484"/>
    <n v="3224.74"/>
    <x v="1"/>
    <x v="2"/>
    <x v="1"/>
    <x v="4"/>
    <n v="458"/>
    <n v="16"/>
    <n v="4"/>
    <n v="19498.669999999998"/>
    <n v="0"/>
    <n v="0.72099999999999997"/>
    <n v="6"/>
    <x v="0"/>
  </r>
  <r>
    <x v="84"/>
    <s v="U9322"/>
    <n v="15583.57"/>
    <x v="2"/>
    <x v="2"/>
    <x v="2"/>
    <x v="2"/>
    <n v="275"/>
    <n v="11"/>
    <n v="2"/>
    <n v="29871.91"/>
    <n v="0"/>
    <n v="0.33600000000000002"/>
    <n v="8"/>
    <x v="0"/>
  </r>
  <r>
    <x v="85"/>
    <s v="U3983"/>
    <n v="16292.91"/>
    <x v="1"/>
    <x v="0"/>
    <x v="2"/>
    <x v="0"/>
    <n v="1524"/>
    <n v="3"/>
    <n v="4"/>
    <n v="26781.54"/>
    <n v="0"/>
    <n v="0.45"/>
    <n v="9"/>
    <x v="0"/>
  </r>
  <r>
    <x v="86"/>
    <s v="U2552"/>
    <n v="36493.83"/>
    <x v="0"/>
    <x v="1"/>
    <x v="2"/>
    <x v="3"/>
    <n v="1272"/>
    <n v="16"/>
    <n v="2"/>
    <n v="26423.29"/>
    <n v="0"/>
    <n v="0.96599999999999997"/>
    <n v="3"/>
    <x v="0"/>
  </r>
  <r>
    <x v="87"/>
    <s v="U3989"/>
    <n v="31896"/>
    <x v="0"/>
    <x v="0"/>
    <x v="0"/>
    <x v="1"/>
    <n v="259"/>
    <n v="0"/>
    <n v="2"/>
    <n v="19406.669999999998"/>
    <n v="0"/>
    <n v="0.66900000000000004"/>
    <n v="8"/>
    <x v="0"/>
  </r>
  <r>
    <x v="88"/>
    <s v="U4029"/>
    <n v="44366.28"/>
    <x v="0"/>
    <x v="3"/>
    <x v="1"/>
    <x v="0"/>
    <n v="964"/>
    <n v="20"/>
    <n v="3"/>
    <n v="8191.19"/>
    <n v="0"/>
    <n v="0.52"/>
    <n v="4"/>
    <x v="0"/>
  </r>
  <r>
    <x v="89"/>
    <s v="U5882"/>
    <n v="23637.14"/>
    <x v="2"/>
    <x v="3"/>
    <x v="1"/>
    <x v="2"/>
    <n v="1324"/>
    <n v="16"/>
    <n v="4"/>
    <n v="11584.16"/>
    <n v="0"/>
    <n v="0.57799999999999996"/>
    <n v="2"/>
    <x v="0"/>
  </r>
  <r>
    <x v="90"/>
    <s v="U4389"/>
    <n v="6023.73"/>
    <x v="1"/>
    <x v="3"/>
    <x v="2"/>
    <x v="3"/>
    <n v="552"/>
    <n v="10"/>
    <n v="4"/>
    <n v="7578.65"/>
    <n v="0"/>
    <n v="0.104"/>
    <n v="4"/>
    <x v="0"/>
  </r>
  <r>
    <x v="91"/>
    <s v="U4396"/>
    <n v="35676.58"/>
    <x v="2"/>
    <x v="1"/>
    <x v="1"/>
    <x v="4"/>
    <n v="641"/>
    <n v="18"/>
    <n v="1"/>
    <n v="4139.01"/>
    <n v="0"/>
    <n v="0.59199999999999997"/>
    <n v="4"/>
    <x v="0"/>
  </r>
  <r>
    <x v="92"/>
    <s v="U8733"/>
    <n v="38051.21"/>
    <x v="1"/>
    <x v="3"/>
    <x v="0"/>
    <x v="1"/>
    <n v="1112"/>
    <n v="22"/>
    <n v="1"/>
    <n v="13137.33"/>
    <n v="0"/>
    <n v="0.83599999999999997"/>
    <n v="8"/>
    <x v="0"/>
  </r>
  <r>
    <x v="93"/>
    <s v="U4576"/>
    <n v="28085.8"/>
    <x v="2"/>
    <x v="1"/>
    <x v="2"/>
    <x v="0"/>
    <n v="916"/>
    <n v="17"/>
    <n v="4"/>
    <n v="26936.3"/>
    <n v="0"/>
    <n v="0.52400000000000002"/>
    <n v="8"/>
    <x v="0"/>
  </r>
  <r>
    <x v="94"/>
    <s v="U3234"/>
    <n v="38559.81"/>
    <x v="2"/>
    <x v="0"/>
    <x v="0"/>
    <x v="0"/>
    <n v="530"/>
    <n v="19"/>
    <n v="1"/>
    <n v="22340.85"/>
    <n v="0"/>
    <n v="0.17699999999999999"/>
    <n v="7"/>
    <x v="0"/>
  </r>
  <r>
    <x v="95"/>
    <s v="U1521"/>
    <n v="24715.09"/>
    <x v="1"/>
    <x v="0"/>
    <x v="0"/>
    <x v="0"/>
    <n v="1483"/>
    <n v="1"/>
    <n v="1"/>
    <n v="29546.65"/>
    <n v="0"/>
    <n v="0.44800000000000001"/>
    <n v="4"/>
    <x v="0"/>
  </r>
  <r>
    <x v="96"/>
    <s v="U4929"/>
    <n v="26160.5"/>
    <x v="2"/>
    <x v="1"/>
    <x v="1"/>
    <x v="0"/>
    <n v="1589"/>
    <n v="8"/>
    <n v="2"/>
    <n v="5925.03"/>
    <n v="0"/>
    <n v="0.27800000000000002"/>
    <n v="2"/>
    <x v="0"/>
  </r>
  <r>
    <x v="97"/>
    <s v="U1472"/>
    <n v="21405.67"/>
    <x v="1"/>
    <x v="0"/>
    <x v="1"/>
    <x v="3"/>
    <n v="893"/>
    <n v="8"/>
    <n v="3"/>
    <n v="15066.27"/>
    <n v="0"/>
    <n v="0.36"/>
    <n v="1"/>
    <x v="0"/>
  </r>
  <r>
    <x v="98"/>
    <s v="U1266"/>
    <n v="1319.69"/>
    <x v="0"/>
    <x v="0"/>
    <x v="2"/>
    <x v="4"/>
    <n v="743"/>
    <n v="11"/>
    <n v="2"/>
    <n v="23812.080000000002"/>
    <n v="0"/>
    <n v="0.22500000000000001"/>
    <n v="2"/>
    <x v="0"/>
  </r>
  <r>
    <x v="99"/>
    <s v="U8394"/>
    <n v="5439.18"/>
    <x v="0"/>
    <x v="1"/>
    <x v="0"/>
    <x v="2"/>
    <n v="153"/>
    <n v="12"/>
    <n v="1"/>
    <n v="13867.79"/>
    <n v="0"/>
    <n v="0.33400000000000002"/>
    <n v="2"/>
    <x v="0"/>
  </r>
  <r>
    <x v="100"/>
    <s v="U7803"/>
    <n v="1619.89"/>
    <x v="0"/>
    <x v="3"/>
    <x v="1"/>
    <x v="1"/>
    <n v="1153"/>
    <n v="15"/>
    <n v="2"/>
    <n v="10716.13"/>
    <n v="0"/>
    <n v="0.82199999999999995"/>
    <n v="3"/>
    <x v="0"/>
  </r>
  <r>
    <x v="101"/>
    <s v="U7909"/>
    <n v="31838.7"/>
    <x v="2"/>
    <x v="1"/>
    <x v="2"/>
    <x v="0"/>
    <n v="953"/>
    <n v="12"/>
    <n v="2"/>
    <n v="24495.02"/>
    <n v="1"/>
    <n v="0.75800000000000001"/>
    <n v="5"/>
    <x v="0"/>
  </r>
  <r>
    <x v="102"/>
    <s v="U5779"/>
    <n v="15752.08"/>
    <x v="0"/>
    <x v="2"/>
    <x v="2"/>
    <x v="0"/>
    <n v="574"/>
    <n v="22"/>
    <n v="0"/>
    <n v="12966.21"/>
    <n v="0"/>
    <n v="0.49099999999999999"/>
    <n v="1"/>
    <x v="0"/>
  </r>
  <r>
    <x v="103"/>
    <s v="U1616"/>
    <n v="25453.11"/>
    <x v="1"/>
    <x v="0"/>
    <x v="1"/>
    <x v="4"/>
    <n v="1610"/>
    <n v="13"/>
    <n v="2"/>
    <n v="27397.73"/>
    <n v="0"/>
    <n v="0.78300000000000003"/>
    <n v="5"/>
    <x v="1"/>
  </r>
  <r>
    <x v="104"/>
    <s v="U6888"/>
    <n v="45382.95"/>
    <x v="0"/>
    <x v="1"/>
    <x v="0"/>
    <x v="4"/>
    <n v="1209"/>
    <n v="6"/>
    <n v="2"/>
    <n v="8125.2"/>
    <n v="0"/>
    <n v="0.97599999999999998"/>
    <n v="7"/>
    <x v="0"/>
  </r>
  <r>
    <x v="105"/>
    <s v="U1735"/>
    <n v="12502.15"/>
    <x v="0"/>
    <x v="0"/>
    <x v="2"/>
    <x v="3"/>
    <n v="79"/>
    <n v="1"/>
    <n v="3"/>
    <n v="26903.97"/>
    <n v="0"/>
    <n v="0.40600000000000003"/>
    <n v="1"/>
    <x v="0"/>
  </r>
  <r>
    <x v="106"/>
    <s v="U2553"/>
    <n v="20548.63"/>
    <x v="2"/>
    <x v="3"/>
    <x v="1"/>
    <x v="3"/>
    <n v="1847"/>
    <n v="11"/>
    <n v="4"/>
    <n v="8425.98"/>
    <n v="0"/>
    <n v="0.98"/>
    <n v="4"/>
    <x v="0"/>
  </r>
  <r>
    <x v="107"/>
    <s v="U9301"/>
    <n v="37789.78"/>
    <x v="1"/>
    <x v="0"/>
    <x v="2"/>
    <x v="3"/>
    <n v="642"/>
    <n v="23"/>
    <n v="0"/>
    <n v="8757.9699999999993"/>
    <n v="0"/>
    <n v="0.246"/>
    <n v="2"/>
    <x v="0"/>
  </r>
  <r>
    <x v="108"/>
    <s v="U3195"/>
    <n v="11478.47"/>
    <x v="2"/>
    <x v="1"/>
    <x v="1"/>
    <x v="1"/>
    <n v="898"/>
    <n v="16"/>
    <n v="0"/>
    <n v="12675.47"/>
    <n v="0"/>
    <n v="0.95499999999999996"/>
    <n v="8"/>
    <x v="0"/>
  </r>
  <r>
    <x v="109"/>
    <s v="U9467"/>
    <n v="3895.15"/>
    <x v="2"/>
    <x v="3"/>
    <x v="2"/>
    <x v="3"/>
    <n v="1236"/>
    <n v="23"/>
    <n v="0"/>
    <n v="15522.77"/>
    <n v="0"/>
    <n v="0.86399999999999999"/>
    <n v="2"/>
    <x v="0"/>
  </r>
  <r>
    <x v="110"/>
    <s v="U9234"/>
    <n v="14523.09"/>
    <x v="1"/>
    <x v="3"/>
    <x v="0"/>
    <x v="0"/>
    <n v="810"/>
    <n v="4"/>
    <n v="0"/>
    <n v="12604.93"/>
    <n v="0"/>
    <n v="0.19900000000000001"/>
    <n v="1"/>
    <x v="0"/>
  </r>
  <r>
    <x v="111"/>
    <s v="U9082"/>
    <n v="8103"/>
    <x v="2"/>
    <x v="3"/>
    <x v="2"/>
    <x v="3"/>
    <n v="189"/>
    <n v="19"/>
    <n v="3"/>
    <n v="25878.26"/>
    <n v="1"/>
    <n v="0.35"/>
    <n v="2"/>
    <x v="0"/>
  </r>
  <r>
    <x v="112"/>
    <s v="U8186"/>
    <n v="46488.4"/>
    <x v="1"/>
    <x v="2"/>
    <x v="1"/>
    <x v="1"/>
    <n v="602"/>
    <n v="9"/>
    <n v="4"/>
    <n v="23887.52"/>
    <n v="0"/>
    <n v="0.70799999999999996"/>
    <n v="4"/>
    <x v="0"/>
  </r>
  <r>
    <x v="113"/>
    <s v="U9675"/>
    <n v="40415.61"/>
    <x v="0"/>
    <x v="1"/>
    <x v="1"/>
    <x v="3"/>
    <n v="576"/>
    <n v="17"/>
    <n v="3"/>
    <n v="9364.92"/>
    <n v="0"/>
    <n v="0.192"/>
    <n v="5"/>
    <x v="0"/>
  </r>
  <r>
    <x v="114"/>
    <s v="U2339"/>
    <n v="31688.52"/>
    <x v="1"/>
    <x v="1"/>
    <x v="1"/>
    <x v="3"/>
    <n v="700"/>
    <n v="2"/>
    <n v="0"/>
    <n v="15394.44"/>
    <n v="0"/>
    <n v="0.59099999999999997"/>
    <n v="2"/>
    <x v="0"/>
  </r>
  <r>
    <x v="115"/>
    <s v="U5538"/>
    <n v="43579.46"/>
    <x v="1"/>
    <x v="3"/>
    <x v="0"/>
    <x v="0"/>
    <n v="1643"/>
    <n v="12"/>
    <n v="4"/>
    <n v="12987.79"/>
    <n v="0"/>
    <n v="0.53500000000000003"/>
    <n v="4"/>
    <x v="0"/>
  </r>
  <r>
    <x v="116"/>
    <s v="U4935"/>
    <n v="40193.42"/>
    <x v="1"/>
    <x v="0"/>
    <x v="1"/>
    <x v="0"/>
    <n v="1143"/>
    <n v="12"/>
    <n v="3"/>
    <n v="1776.5"/>
    <n v="1"/>
    <n v="0.29199999999999998"/>
    <n v="7"/>
    <x v="0"/>
  </r>
  <r>
    <x v="117"/>
    <s v="U3759"/>
    <n v="9369.17"/>
    <x v="2"/>
    <x v="3"/>
    <x v="1"/>
    <x v="0"/>
    <n v="1457"/>
    <n v="9"/>
    <n v="4"/>
    <n v="22469.59"/>
    <n v="1"/>
    <n v="0.30099999999999999"/>
    <n v="5"/>
    <x v="0"/>
  </r>
  <r>
    <x v="118"/>
    <s v="U2322"/>
    <n v="44633.32"/>
    <x v="1"/>
    <x v="2"/>
    <x v="0"/>
    <x v="3"/>
    <n v="674"/>
    <n v="1"/>
    <n v="3"/>
    <n v="5531.83"/>
    <n v="1"/>
    <n v="0.51600000000000001"/>
    <n v="8"/>
    <x v="0"/>
  </r>
  <r>
    <x v="119"/>
    <s v="U9154"/>
    <n v="26990.14"/>
    <x v="1"/>
    <x v="3"/>
    <x v="1"/>
    <x v="0"/>
    <n v="1992"/>
    <n v="15"/>
    <n v="4"/>
    <n v="28030.84"/>
    <n v="0"/>
    <n v="0.3"/>
    <n v="9"/>
    <x v="0"/>
  </r>
  <r>
    <x v="120"/>
    <s v="U7077"/>
    <n v="40381.64"/>
    <x v="1"/>
    <x v="1"/>
    <x v="1"/>
    <x v="4"/>
    <n v="1536"/>
    <n v="3"/>
    <n v="3"/>
    <n v="11993.57"/>
    <n v="0"/>
    <n v="0.18"/>
    <n v="1"/>
    <x v="0"/>
  </r>
  <r>
    <x v="121"/>
    <s v="U5583"/>
    <n v="44809.760000000002"/>
    <x v="0"/>
    <x v="3"/>
    <x v="0"/>
    <x v="2"/>
    <n v="415"/>
    <n v="18"/>
    <n v="0"/>
    <n v="18705.509999999998"/>
    <n v="0"/>
    <n v="0.77300000000000002"/>
    <n v="1"/>
    <x v="0"/>
  </r>
  <r>
    <x v="122"/>
    <s v="U2161"/>
    <n v="15934.27"/>
    <x v="1"/>
    <x v="0"/>
    <x v="2"/>
    <x v="2"/>
    <n v="995"/>
    <n v="4"/>
    <n v="0"/>
    <n v="24567.15"/>
    <n v="0"/>
    <n v="0.58199999999999996"/>
    <n v="3"/>
    <x v="1"/>
  </r>
  <r>
    <x v="123"/>
    <s v="U7575"/>
    <n v="5547.09"/>
    <x v="2"/>
    <x v="1"/>
    <x v="1"/>
    <x v="0"/>
    <n v="646"/>
    <n v="6"/>
    <n v="0"/>
    <n v="5490.87"/>
    <n v="1"/>
    <n v="0.438"/>
    <n v="8"/>
    <x v="0"/>
  </r>
  <r>
    <x v="124"/>
    <s v="U4491"/>
    <n v="11435.36"/>
    <x v="1"/>
    <x v="0"/>
    <x v="2"/>
    <x v="1"/>
    <n v="1124"/>
    <n v="8"/>
    <n v="3"/>
    <n v="16279.98"/>
    <n v="0"/>
    <n v="0.18099999999999999"/>
    <n v="1"/>
    <x v="0"/>
  </r>
  <r>
    <x v="125"/>
    <s v="U5632"/>
    <n v="21384.03"/>
    <x v="1"/>
    <x v="3"/>
    <x v="0"/>
    <x v="0"/>
    <n v="1327"/>
    <n v="4"/>
    <n v="4"/>
    <n v="7198.85"/>
    <n v="0"/>
    <n v="0.59399999999999997"/>
    <n v="2"/>
    <x v="0"/>
  </r>
  <r>
    <x v="126"/>
    <s v="U6524"/>
    <n v="40909.839999999997"/>
    <x v="0"/>
    <x v="1"/>
    <x v="1"/>
    <x v="0"/>
    <n v="1426"/>
    <n v="7"/>
    <n v="4"/>
    <n v="15339.16"/>
    <n v="0"/>
    <n v="0.629"/>
    <n v="1"/>
    <x v="0"/>
  </r>
  <r>
    <x v="127"/>
    <s v="U3140"/>
    <n v="43043.49"/>
    <x v="1"/>
    <x v="2"/>
    <x v="1"/>
    <x v="3"/>
    <n v="1070"/>
    <n v="1"/>
    <n v="1"/>
    <n v="17425.14"/>
    <n v="0"/>
    <n v="0.48"/>
    <n v="1"/>
    <x v="0"/>
  </r>
  <r>
    <x v="128"/>
    <s v="U5039"/>
    <n v="397.26"/>
    <x v="2"/>
    <x v="1"/>
    <x v="0"/>
    <x v="1"/>
    <n v="526"/>
    <n v="21"/>
    <n v="2"/>
    <n v="5157.32"/>
    <n v="0"/>
    <n v="0.373"/>
    <n v="9"/>
    <x v="0"/>
  </r>
  <r>
    <x v="129"/>
    <s v="U1958"/>
    <n v="25561.83"/>
    <x v="1"/>
    <x v="0"/>
    <x v="1"/>
    <x v="0"/>
    <n v="859"/>
    <n v="23"/>
    <n v="0"/>
    <n v="17466.48"/>
    <n v="0"/>
    <n v="0.86699999999999999"/>
    <n v="1"/>
    <x v="0"/>
  </r>
  <r>
    <x v="130"/>
    <s v="U5840"/>
    <n v="20899.68"/>
    <x v="2"/>
    <x v="1"/>
    <x v="2"/>
    <x v="4"/>
    <n v="1695"/>
    <n v="19"/>
    <n v="0"/>
    <n v="13701.75"/>
    <n v="0"/>
    <n v="0.70499999999999996"/>
    <n v="4"/>
    <x v="0"/>
  </r>
  <r>
    <x v="131"/>
    <s v="U3019"/>
    <n v="11144.29"/>
    <x v="0"/>
    <x v="2"/>
    <x v="2"/>
    <x v="2"/>
    <n v="1911"/>
    <n v="19"/>
    <n v="0"/>
    <n v="15707.79"/>
    <n v="0"/>
    <n v="0.35599999999999998"/>
    <n v="7"/>
    <x v="0"/>
  </r>
  <r>
    <x v="132"/>
    <s v="U2050"/>
    <n v="6037.28"/>
    <x v="1"/>
    <x v="2"/>
    <x v="0"/>
    <x v="4"/>
    <n v="917"/>
    <n v="6"/>
    <n v="1"/>
    <n v="27158.51"/>
    <n v="0"/>
    <n v="0.59299999999999997"/>
    <n v="5"/>
    <x v="0"/>
  </r>
  <r>
    <x v="133"/>
    <s v="U7905"/>
    <n v="16913.88"/>
    <x v="0"/>
    <x v="2"/>
    <x v="1"/>
    <x v="4"/>
    <n v="325"/>
    <n v="3"/>
    <n v="1"/>
    <n v="14565.71"/>
    <n v="0"/>
    <n v="0.23400000000000001"/>
    <n v="5"/>
    <x v="0"/>
  </r>
  <r>
    <x v="134"/>
    <s v="U1699"/>
    <n v="47148.34"/>
    <x v="1"/>
    <x v="2"/>
    <x v="1"/>
    <x v="4"/>
    <n v="1205"/>
    <n v="20"/>
    <n v="1"/>
    <n v="14336.84"/>
    <n v="0"/>
    <n v="1.0999999999999999E-2"/>
    <n v="7"/>
    <x v="0"/>
  </r>
  <r>
    <x v="135"/>
    <s v="U2974"/>
    <n v="16193.99"/>
    <x v="2"/>
    <x v="0"/>
    <x v="0"/>
    <x v="1"/>
    <n v="1439"/>
    <n v="14"/>
    <n v="0"/>
    <n v="14164.92"/>
    <n v="0"/>
    <n v="0.86899999999999999"/>
    <n v="6"/>
    <x v="0"/>
  </r>
  <r>
    <x v="136"/>
    <s v="U2686"/>
    <n v="25963.59"/>
    <x v="0"/>
    <x v="1"/>
    <x v="2"/>
    <x v="1"/>
    <n v="1295"/>
    <n v="17"/>
    <n v="4"/>
    <n v="18730.849999999999"/>
    <n v="0"/>
    <n v="0.81899999999999995"/>
    <n v="6"/>
    <x v="1"/>
  </r>
  <r>
    <x v="137"/>
    <s v="U2979"/>
    <n v="35165.800000000003"/>
    <x v="1"/>
    <x v="3"/>
    <x v="2"/>
    <x v="1"/>
    <n v="1517"/>
    <n v="1"/>
    <n v="0"/>
    <n v="11088.77"/>
    <n v="1"/>
    <n v="0.63900000000000001"/>
    <n v="8"/>
    <x v="0"/>
  </r>
  <r>
    <x v="138"/>
    <s v="U6022"/>
    <n v="18213.3"/>
    <x v="2"/>
    <x v="2"/>
    <x v="0"/>
    <x v="2"/>
    <n v="36"/>
    <n v="13"/>
    <n v="1"/>
    <n v="24060.67"/>
    <n v="0"/>
    <n v="0.81100000000000005"/>
    <n v="9"/>
    <x v="0"/>
  </r>
  <r>
    <x v="139"/>
    <s v="U5263"/>
    <n v="48590.52"/>
    <x v="0"/>
    <x v="3"/>
    <x v="1"/>
    <x v="3"/>
    <n v="1528"/>
    <n v="9"/>
    <n v="1"/>
    <n v="8652.9"/>
    <n v="0"/>
    <n v="0.78100000000000003"/>
    <n v="2"/>
    <x v="0"/>
  </r>
  <r>
    <x v="140"/>
    <s v="U1515"/>
    <n v="48124.24"/>
    <x v="1"/>
    <x v="3"/>
    <x v="2"/>
    <x v="0"/>
    <n v="64"/>
    <n v="4"/>
    <n v="2"/>
    <n v="9056.43"/>
    <n v="1"/>
    <n v="0.86"/>
    <n v="4"/>
    <x v="0"/>
  </r>
  <r>
    <x v="141"/>
    <s v="U5875"/>
    <n v="12626.53"/>
    <x v="0"/>
    <x v="1"/>
    <x v="1"/>
    <x v="0"/>
    <n v="1944"/>
    <n v="11"/>
    <n v="3"/>
    <n v="17703.63"/>
    <n v="0"/>
    <n v="0.89200000000000002"/>
    <n v="9"/>
    <x v="0"/>
  </r>
  <r>
    <x v="142"/>
    <s v="U2726"/>
    <n v="24887.56"/>
    <x v="1"/>
    <x v="3"/>
    <x v="2"/>
    <x v="3"/>
    <n v="1865"/>
    <n v="9"/>
    <n v="2"/>
    <n v="7870.69"/>
    <n v="0"/>
    <n v="0.81899999999999995"/>
    <n v="1"/>
    <x v="0"/>
  </r>
  <r>
    <x v="143"/>
    <s v="U4077"/>
    <n v="15078.87"/>
    <x v="2"/>
    <x v="3"/>
    <x v="1"/>
    <x v="0"/>
    <n v="258"/>
    <n v="17"/>
    <n v="2"/>
    <n v="2789.39"/>
    <n v="0"/>
    <n v="0.85199999999999998"/>
    <n v="8"/>
    <x v="0"/>
  </r>
  <r>
    <x v="144"/>
    <s v="U1247"/>
    <n v="14277.78"/>
    <x v="2"/>
    <x v="0"/>
    <x v="2"/>
    <x v="4"/>
    <n v="282"/>
    <n v="5"/>
    <n v="0"/>
    <n v="6247.01"/>
    <n v="0"/>
    <n v="0.502"/>
    <n v="1"/>
    <x v="0"/>
  </r>
  <r>
    <x v="145"/>
    <s v="U3238"/>
    <n v="1892.5"/>
    <x v="0"/>
    <x v="3"/>
    <x v="1"/>
    <x v="2"/>
    <n v="1292"/>
    <n v="21"/>
    <n v="3"/>
    <n v="27418.36"/>
    <n v="0"/>
    <n v="0.70799999999999996"/>
    <n v="4"/>
    <x v="0"/>
  </r>
  <r>
    <x v="146"/>
    <s v="U6324"/>
    <n v="30497.74"/>
    <x v="0"/>
    <x v="1"/>
    <x v="0"/>
    <x v="0"/>
    <n v="1811"/>
    <n v="11"/>
    <n v="3"/>
    <n v="419.95"/>
    <n v="0"/>
    <n v="0.33300000000000002"/>
    <n v="9"/>
    <x v="1"/>
  </r>
  <r>
    <x v="147"/>
    <s v="U4212"/>
    <n v="25158.82"/>
    <x v="1"/>
    <x v="3"/>
    <x v="2"/>
    <x v="2"/>
    <n v="200"/>
    <n v="23"/>
    <n v="0"/>
    <n v="4090.5"/>
    <n v="1"/>
    <n v="0.86099999999999999"/>
    <n v="4"/>
    <x v="1"/>
  </r>
  <r>
    <x v="148"/>
    <s v="U8724"/>
    <n v="2621.36"/>
    <x v="2"/>
    <x v="1"/>
    <x v="0"/>
    <x v="3"/>
    <n v="584"/>
    <n v="0"/>
    <n v="4"/>
    <n v="22765.39"/>
    <n v="0"/>
    <n v="0.85899999999999999"/>
    <n v="5"/>
    <x v="0"/>
  </r>
  <r>
    <x v="149"/>
    <s v="U7392"/>
    <n v="13968.39"/>
    <x v="1"/>
    <x v="2"/>
    <x v="2"/>
    <x v="0"/>
    <n v="866"/>
    <n v="6"/>
    <n v="0"/>
    <n v="29397.84"/>
    <n v="1"/>
    <n v="6.6000000000000003E-2"/>
    <n v="9"/>
    <x v="0"/>
  </r>
  <r>
    <x v="150"/>
    <s v="U9335"/>
    <n v="45417.88"/>
    <x v="2"/>
    <x v="3"/>
    <x v="2"/>
    <x v="2"/>
    <n v="1479"/>
    <n v="11"/>
    <n v="4"/>
    <n v="20676.740000000002"/>
    <n v="0"/>
    <n v="0.34699999999999998"/>
    <n v="8"/>
    <x v="0"/>
  </r>
  <r>
    <x v="151"/>
    <s v="U9792"/>
    <n v="12016.12"/>
    <x v="0"/>
    <x v="3"/>
    <x v="2"/>
    <x v="4"/>
    <n v="1886"/>
    <n v="6"/>
    <n v="4"/>
    <n v="27677.8"/>
    <n v="0"/>
    <n v="0.17100000000000001"/>
    <n v="1"/>
    <x v="0"/>
  </r>
  <r>
    <x v="152"/>
    <s v="U9965"/>
    <n v="7287.5"/>
    <x v="1"/>
    <x v="3"/>
    <x v="1"/>
    <x v="4"/>
    <n v="1535"/>
    <n v="8"/>
    <n v="3"/>
    <n v="25671.55"/>
    <n v="0"/>
    <n v="0.13600000000000001"/>
    <n v="3"/>
    <x v="0"/>
  </r>
  <r>
    <x v="153"/>
    <s v="U1732"/>
    <n v="24498.17"/>
    <x v="1"/>
    <x v="2"/>
    <x v="2"/>
    <x v="3"/>
    <n v="625"/>
    <n v="19"/>
    <n v="0"/>
    <n v="14451.11"/>
    <n v="1"/>
    <n v="0.41499999999999998"/>
    <n v="4"/>
    <x v="0"/>
  </r>
  <r>
    <x v="154"/>
    <s v="U7026"/>
    <n v="49283.24"/>
    <x v="2"/>
    <x v="0"/>
    <x v="0"/>
    <x v="1"/>
    <n v="1426"/>
    <n v="14"/>
    <n v="0"/>
    <n v="10072.35"/>
    <n v="0"/>
    <n v="0.626"/>
    <n v="3"/>
    <x v="0"/>
  </r>
  <r>
    <x v="155"/>
    <s v="U7031"/>
    <n v="12140.66"/>
    <x v="2"/>
    <x v="3"/>
    <x v="1"/>
    <x v="0"/>
    <n v="1441"/>
    <n v="22"/>
    <n v="3"/>
    <n v="19003.91"/>
    <n v="0"/>
    <n v="0.34399999999999997"/>
    <n v="9"/>
    <x v="0"/>
  </r>
  <r>
    <x v="156"/>
    <s v="U8987"/>
    <n v="33623.17"/>
    <x v="2"/>
    <x v="1"/>
    <x v="1"/>
    <x v="4"/>
    <n v="1833"/>
    <n v="11"/>
    <n v="2"/>
    <n v="16053.25"/>
    <n v="0"/>
    <n v="0.309"/>
    <n v="6"/>
    <x v="0"/>
  </r>
  <r>
    <x v="157"/>
    <s v="U3605"/>
    <n v="38092.9"/>
    <x v="0"/>
    <x v="0"/>
    <x v="2"/>
    <x v="4"/>
    <n v="1804"/>
    <n v="12"/>
    <n v="0"/>
    <n v="872.3"/>
    <n v="0"/>
    <n v="9.4E-2"/>
    <n v="3"/>
    <x v="0"/>
  </r>
  <r>
    <x v="158"/>
    <s v="U5651"/>
    <n v="11920"/>
    <x v="1"/>
    <x v="0"/>
    <x v="1"/>
    <x v="3"/>
    <n v="1027"/>
    <n v="21"/>
    <n v="1"/>
    <n v="28723.19"/>
    <n v="0"/>
    <n v="0.38300000000000001"/>
    <n v="8"/>
    <x v="0"/>
  </r>
  <r>
    <x v="159"/>
    <s v="U5141"/>
    <n v="36424.410000000003"/>
    <x v="2"/>
    <x v="0"/>
    <x v="2"/>
    <x v="4"/>
    <n v="682"/>
    <n v="3"/>
    <n v="1"/>
    <n v="17150.400000000001"/>
    <n v="0"/>
    <n v="0.47099999999999997"/>
    <n v="9"/>
    <x v="0"/>
  </r>
  <r>
    <x v="160"/>
    <s v="U4152"/>
    <n v="18420.77"/>
    <x v="0"/>
    <x v="3"/>
    <x v="0"/>
    <x v="0"/>
    <n v="692"/>
    <n v="9"/>
    <n v="0"/>
    <n v="26247.3"/>
    <n v="0"/>
    <n v="0.39900000000000002"/>
    <n v="4"/>
    <x v="0"/>
  </r>
  <r>
    <x v="161"/>
    <s v="U1106"/>
    <n v="31633.68"/>
    <x v="2"/>
    <x v="2"/>
    <x v="1"/>
    <x v="3"/>
    <n v="118"/>
    <n v="23"/>
    <n v="4"/>
    <n v="22065.439999999999"/>
    <n v="0"/>
    <n v="0.68"/>
    <n v="5"/>
    <x v="0"/>
  </r>
  <r>
    <x v="162"/>
    <s v="U8583"/>
    <n v="31694.81"/>
    <x v="1"/>
    <x v="2"/>
    <x v="1"/>
    <x v="2"/>
    <n v="661"/>
    <n v="2"/>
    <n v="3"/>
    <n v="10290.91"/>
    <n v="1"/>
    <n v="0.28799999999999998"/>
    <n v="3"/>
    <x v="0"/>
  </r>
  <r>
    <x v="163"/>
    <s v="U1077"/>
    <n v="26811.95"/>
    <x v="2"/>
    <x v="3"/>
    <x v="0"/>
    <x v="3"/>
    <n v="1638"/>
    <n v="23"/>
    <n v="4"/>
    <n v="27044.62"/>
    <n v="0"/>
    <n v="0.71599999999999997"/>
    <n v="5"/>
    <x v="0"/>
  </r>
  <r>
    <x v="164"/>
    <s v="U1822"/>
    <n v="4559.97"/>
    <x v="1"/>
    <x v="1"/>
    <x v="0"/>
    <x v="0"/>
    <n v="990"/>
    <n v="4"/>
    <n v="1"/>
    <n v="23733.63"/>
    <n v="0"/>
    <n v="0.88300000000000001"/>
    <n v="2"/>
    <x v="0"/>
  </r>
  <r>
    <x v="165"/>
    <s v="U6928"/>
    <n v="41773.360000000001"/>
    <x v="0"/>
    <x v="1"/>
    <x v="2"/>
    <x v="0"/>
    <n v="1136"/>
    <n v="3"/>
    <n v="1"/>
    <n v="12950.77"/>
    <n v="0"/>
    <n v="0.59099999999999997"/>
    <n v="2"/>
    <x v="1"/>
  </r>
  <r>
    <x v="166"/>
    <s v="U1821"/>
    <n v="16072.96"/>
    <x v="0"/>
    <x v="1"/>
    <x v="1"/>
    <x v="2"/>
    <n v="235"/>
    <n v="18"/>
    <n v="3"/>
    <n v="25230.3"/>
    <n v="0"/>
    <n v="0.38900000000000001"/>
    <n v="5"/>
    <x v="0"/>
  </r>
  <r>
    <x v="167"/>
    <s v="U7504"/>
    <n v="9366.6"/>
    <x v="2"/>
    <x v="3"/>
    <x v="0"/>
    <x v="3"/>
    <n v="362"/>
    <n v="14"/>
    <n v="1"/>
    <n v="8219.41"/>
    <n v="0"/>
    <n v="0.18"/>
    <n v="7"/>
    <x v="1"/>
  </r>
  <r>
    <x v="168"/>
    <s v="U5838"/>
    <n v="2086.7199999999998"/>
    <x v="1"/>
    <x v="2"/>
    <x v="1"/>
    <x v="0"/>
    <n v="1193"/>
    <n v="22"/>
    <n v="2"/>
    <n v="20153.439999999999"/>
    <n v="0"/>
    <n v="0.93200000000000005"/>
    <n v="1"/>
    <x v="0"/>
  </r>
  <r>
    <x v="169"/>
    <s v="U6924"/>
    <n v="29565.1"/>
    <x v="1"/>
    <x v="3"/>
    <x v="0"/>
    <x v="0"/>
    <n v="1437"/>
    <n v="6"/>
    <n v="1"/>
    <n v="3525.99"/>
    <n v="0"/>
    <n v="0.752"/>
    <n v="3"/>
    <x v="0"/>
  </r>
  <r>
    <x v="170"/>
    <s v="U7781"/>
    <n v="33894.339999999997"/>
    <x v="1"/>
    <x v="2"/>
    <x v="1"/>
    <x v="2"/>
    <n v="1740"/>
    <n v="21"/>
    <n v="4"/>
    <n v="25986.46"/>
    <n v="0"/>
    <n v="0.246"/>
    <n v="1"/>
    <x v="0"/>
  </r>
  <r>
    <x v="171"/>
    <s v="U3476"/>
    <n v="878.56"/>
    <x v="2"/>
    <x v="0"/>
    <x v="0"/>
    <x v="1"/>
    <n v="1357"/>
    <n v="2"/>
    <n v="4"/>
    <n v="21910.04"/>
    <n v="0"/>
    <n v="0.151"/>
    <n v="8"/>
    <x v="0"/>
  </r>
  <r>
    <x v="172"/>
    <s v="U5190"/>
    <n v="25629.05"/>
    <x v="1"/>
    <x v="3"/>
    <x v="1"/>
    <x v="3"/>
    <n v="154"/>
    <n v="15"/>
    <n v="2"/>
    <n v="4661.78"/>
    <n v="0"/>
    <n v="4.9000000000000002E-2"/>
    <n v="2"/>
    <x v="0"/>
  </r>
  <r>
    <x v="173"/>
    <s v="U6775"/>
    <n v="11363.46"/>
    <x v="1"/>
    <x v="2"/>
    <x v="2"/>
    <x v="0"/>
    <n v="1787"/>
    <n v="14"/>
    <n v="4"/>
    <n v="737.9"/>
    <n v="0"/>
    <n v="0.191"/>
    <n v="6"/>
    <x v="0"/>
  </r>
  <r>
    <x v="174"/>
    <s v="U8577"/>
    <n v="32276.38"/>
    <x v="1"/>
    <x v="0"/>
    <x v="1"/>
    <x v="4"/>
    <n v="1498"/>
    <n v="17"/>
    <n v="4"/>
    <n v="11757.05"/>
    <n v="0"/>
    <n v="0.73199999999999998"/>
    <n v="6"/>
    <x v="0"/>
  </r>
  <r>
    <x v="175"/>
    <s v="U5318"/>
    <n v="8759.6"/>
    <x v="1"/>
    <x v="0"/>
    <x v="2"/>
    <x v="2"/>
    <n v="924"/>
    <n v="2"/>
    <n v="4"/>
    <n v="20290.650000000001"/>
    <n v="0"/>
    <n v="0.63"/>
    <n v="9"/>
    <x v="0"/>
  </r>
  <r>
    <x v="176"/>
    <s v="U3312"/>
    <n v="34562.339999999997"/>
    <x v="2"/>
    <x v="3"/>
    <x v="2"/>
    <x v="1"/>
    <n v="1165"/>
    <n v="13"/>
    <n v="0"/>
    <n v="8566.11"/>
    <n v="0"/>
    <n v="0.96699999999999997"/>
    <n v="6"/>
    <x v="0"/>
  </r>
  <r>
    <x v="177"/>
    <s v="U3335"/>
    <n v="19367.43"/>
    <x v="2"/>
    <x v="2"/>
    <x v="2"/>
    <x v="1"/>
    <n v="1126"/>
    <n v="0"/>
    <n v="2"/>
    <n v="29200.33"/>
    <n v="0"/>
    <n v="0.32200000000000001"/>
    <n v="6"/>
    <x v="0"/>
  </r>
  <r>
    <x v="178"/>
    <s v="U1954"/>
    <n v="46839.66"/>
    <x v="1"/>
    <x v="0"/>
    <x v="1"/>
    <x v="2"/>
    <n v="282"/>
    <n v="6"/>
    <n v="2"/>
    <n v="28046.97"/>
    <n v="0"/>
    <n v="0.78700000000000003"/>
    <n v="1"/>
    <x v="0"/>
  </r>
  <r>
    <x v="179"/>
    <s v="U6362"/>
    <n v="6919.17"/>
    <x v="1"/>
    <x v="3"/>
    <x v="1"/>
    <x v="1"/>
    <n v="1737"/>
    <n v="1"/>
    <n v="1"/>
    <n v="17978.419999999998"/>
    <n v="0"/>
    <n v="0.12"/>
    <n v="7"/>
    <x v="0"/>
  </r>
  <r>
    <x v="180"/>
    <s v="U4441"/>
    <n v="17086.259999999998"/>
    <x v="0"/>
    <x v="0"/>
    <x v="2"/>
    <x v="0"/>
    <n v="543"/>
    <n v="9"/>
    <n v="2"/>
    <n v="9536.41"/>
    <n v="0"/>
    <n v="0.56299999999999994"/>
    <n v="6"/>
    <x v="0"/>
  </r>
  <r>
    <x v="181"/>
    <s v="U5334"/>
    <n v="5718"/>
    <x v="0"/>
    <x v="1"/>
    <x v="0"/>
    <x v="1"/>
    <n v="1227"/>
    <n v="23"/>
    <n v="3"/>
    <n v="26898.45"/>
    <n v="0"/>
    <n v="0.46700000000000003"/>
    <n v="8"/>
    <x v="0"/>
  </r>
  <r>
    <x v="182"/>
    <s v="U4448"/>
    <n v="46238.45"/>
    <x v="1"/>
    <x v="3"/>
    <x v="1"/>
    <x v="3"/>
    <n v="1203"/>
    <n v="15"/>
    <n v="2"/>
    <n v="24123.78"/>
    <n v="0"/>
    <n v="0.83799999999999997"/>
    <n v="1"/>
    <x v="0"/>
  </r>
  <r>
    <x v="183"/>
    <s v="U1666"/>
    <n v="43873.1"/>
    <x v="1"/>
    <x v="0"/>
    <x v="1"/>
    <x v="4"/>
    <n v="469"/>
    <n v="11"/>
    <n v="3"/>
    <n v="2676.02"/>
    <n v="0"/>
    <n v="0.70199999999999996"/>
    <n v="8"/>
    <x v="0"/>
  </r>
  <r>
    <x v="184"/>
    <s v="U9132"/>
    <n v="12934.18"/>
    <x v="0"/>
    <x v="3"/>
    <x v="1"/>
    <x v="0"/>
    <n v="950"/>
    <n v="17"/>
    <n v="4"/>
    <n v="14342.05"/>
    <n v="0"/>
    <n v="0.19400000000000001"/>
    <n v="8"/>
    <x v="0"/>
  </r>
  <r>
    <x v="185"/>
    <s v="U4137"/>
    <n v="33016.199999999997"/>
    <x v="0"/>
    <x v="3"/>
    <x v="1"/>
    <x v="2"/>
    <n v="1044"/>
    <n v="5"/>
    <n v="3"/>
    <n v="29438.33"/>
    <n v="0"/>
    <n v="0.98399999999999999"/>
    <n v="1"/>
    <x v="0"/>
  </r>
  <r>
    <x v="186"/>
    <s v="U4280"/>
    <n v="40870.25"/>
    <x v="1"/>
    <x v="2"/>
    <x v="2"/>
    <x v="4"/>
    <n v="190"/>
    <n v="16"/>
    <n v="0"/>
    <n v="13671.77"/>
    <n v="0"/>
    <n v="0.82299999999999995"/>
    <n v="7"/>
    <x v="0"/>
  </r>
  <r>
    <x v="187"/>
    <s v="U4783"/>
    <n v="27782.28"/>
    <x v="2"/>
    <x v="2"/>
    <x v="0"/>
    <x v="0"/>
    <n v="1265"/>
    <n v="7"/>
    <n v="4"/>
    <n v="27993.96"/>
    <n v="0"/>
    <n v="0.35499999999999998"/>
    <n v="7"/>
    <x v="0"/>
  </r>
  <r>
    <x v="188"/>
    <s v="U4342"/>
    <n v="26506.05"/>
    <x v="2"/>
    <x v="0"/>
    <x v="0"/>
    <x v="4"/>
    <n v="1989"/>
    <n v="20"/>
    <n v="3"/>
    <n v="29320.95"/>
    <n v="0"/>
    <n v="0.82599999999999996"/>
    <n v="7"/>
    <x v="0"/>
  </r>
  <r>
    <x v="189"/>
    <s v="U7832"/>
    <n v="12130.52"/>
    <x v="1"/>
    <x v="3"/>
    <x v="0"/>
    <x v="1"/>
    <n v="38"/>
    <n v="8"/>
    <n v="4"/>
    <n v="11682.04"/>
    <n v="0"/>
    <n v="0.95699999999999996"/>
    <n v="3"/>
    <x v="0"/>
  </r>
  <r>
    <x v="190"/>
    <s v="U2155"/>
    <n v="4700.4799999999996"/>
    <x v="1"/>
    <x v="3"/>
    <x v="0"/>
    <x v="2"/>
    <n v="541"/>
    <n v="18"/>
    <n v="0"/>
    <n v="28940.3"/>
    <n v="0"/>
    <n v="0.89"/>
    <n v="3"/>
    <x v="0"/>
  </r>
  <r>
    <x v="191"/>
    <s v="U6183"/>
    <n v="44865.93"/>
    <x v="0"/>
    <x v="1"/>
    <x v="2"/>
    <x v="2"/>
    <n v="1038"/>
    <n v="1"/>
    <n v="4"/>
    <n v="4224.42"/>
    <n v="0"/>
    <n v="0.55600000000000005"/>
    <n v="8"/>
    <x v="0"/>
  </r>
  <r>
    <x v="192"/>
    <s v="U3650"/>
    <n v="45025.88"/>
    <x v="0"/>
    <x v="3"/>
    <x v="1"/>
    <x v="3"/>
    <n v="1954"/>
    <n v="6"/>
    <n v="4"/>
    <n v="4887.57"/>
    <n v="0"/>
    <n v="0.57699999999999996"/>
    <n v="8"/>
    <x v="0"/>
  </r>
  <r>
    <x v="193"/>
    <s v="U5701"/>
    <n v="31673.42"/>
    <x v="2"/>
    <x v="2"/>
    <x v="1"/>
    <x v="1"/>
    <n v="1579"/>
    <n v="10"/>
    <n v="2"/>
    <n v="8368.65"/>
    <n v="0"/>
    <n v="0.107"/>
    <n v="8"/>
    <x v="1"/>
  </r>
  <r>
    <x v="194"/>
    <s v="U8420"/>
    <n v="16984.54"/>
    <x v="1"/>
    <x v="3"/>
    <x v="2"/>
    <x v="3"/>
    <n v="149"/>
    <n v="22"/>
    <n v="1"/>
    <n v="14079.93"/>
    <n v="0"/>
    <n v="0.16500000000000001"/>
    <n v="3"/>
    <x v="0"/>
  </r>
  <r>
    <x v="195"/>
    <s v="U9588"/>
    <n v="17493.02"/>
    <x v="0"/>
    <x v="2"/>
    <x v="1"/>
    <x v="3"/>
    <n v="1061"/>
    <n v="12"/>
    <n v="3"/>
    <n v="5512.64"/>
    <n v="0"/>
    <n v="0.98299999999999998"/>
    <n v="4"/>
    <x v="0"/>
  </r>
  <r>
    <x v="196"/>
    <s v="U9358"/>
    <n v="36311.49"/>
    <x v="2"/>
    <x v="1"/>
    <x v="2"/>
    <x v="1"/>
    <n v="107"/>
    <n v="9"/>
    <n v="1"/>
    <n v="10271.31"/>
    <n v="0"/>
    <n v="0.77"/>
    <n v="2"/>
    <x v="0"/>
  </r>
  <r>
    <x v="197"/>
    <s v="U5231"/>
    <n v="44860.66"/>
    <x v="2"/>
    <x v="0"/>
    <x v="0"/>
    <x v="0"/>
    <n v="271"/>
    <n v="14"/>
    <n v="0"/>
    <n v="3199.23"/>
    <n v="0"/>
    <n v="2.5999999999999999E-2"/>
    <n v="3"/>
    <x v="0"/>
  </r>
  <r>
    <x v="198"/>
    <s v="U3939"/>
    <n v="44359.97"/>
    <x v="2"/>
    <x v="2"/>
    <x v="2"/>
    <x v="3"/>
    <n v="1791"/>
    <n v="20"/>
    <n v="0"/>
    <n v="12957.24"/>
    <n v="1"/>
    <n v="0.54800000000000004"/>
    <n v="5"/>
    <x v="0"/>
  </r>
  <r>
    <x v="199"/>
    <s v="U1446"/>
    <n v="39004.78"/>
    <x v="0"/>
    <x v="0"/>
    <x v="1"/>
    <x v="4"/>
    <n v="28"/>
    <n v="6"/>
    <n v="4"/>
    <n v="24841.61"/>
    <n v="0"/>
    <n v="0.34499999999999997"/>
    <n v="3"/>
    <x v="0"/>
  </r>
  <r>
    <x v="200"/>
    <s v="U1679"/>
    <n v="32119.48"/>
    <x v="0"/>
    <x v="0"/>
    <x v="1"/>
    <x v="0"/>
    <n v="21"/>
    <n v="5"/>
    <n v="1"/>
    <n v="17892.099999999999"/>
    <n v="0"/>
    <n v="0.312"/>
    <n v="4"/>
    <x v="0"/>
  </r>
  <r>
    <x v="201"/>
    <s v="U5356"/>
    <n v="4252.79"/>
    <x v="1"/>
    <x v="0"/>
    <x v="1"/>
    <x v="1"/>
    <n v="546"/>
    <n v="11"/>
    <n v="3"/>
    <n v="24323.759999999998"/>
    <n v="0"/>
    <n v="0.55700000000000005"/>
    <n v="7"/>
    <x v="0"/>
  </r>
  <r>
    <x v="202"/>
    <s v="U5826"/>
    <n v="8123.35"/>
    <x v="1"/>
    <x v="0"/>
    <x v="0"/>
    <x v="2"/>
    <n v="1558"/>
    <n v="2"/>
    <n v="3"/>
    <n v="4157.8100000000004"/>
    <n v="1"/>
    <n v="0.32"/>
    <n v="3"/>
    <x v="0"/>
  </r>
  <r>
    <x v="203"/>
    <s v="U6113"/>
    <n v="44932.78"/>
    <x v="2"/>
    <x v="2"/>
    <x v="2"/>
    <x v="0"/>
    <n v="1498"/>
    <n v="15"/>
    <n v="4"/>
    <n v="12043.13"/>
    <n v="0"/>
    <n v="0.252"/>
    <n v="1"/>
    <x v="0"/>
  </r>
  <r>
    <x v="204"/>
    <s v="U5101"/>
    <n v="30341.13"/>
    <x v="2"/>
    <x v="1"/>
    <x v="2"/>
    <x v="3"/>
    <n v="1621"/>
    <n v="19"/>
    <n v="3"/>
    <n v="1275.76"/>
    <n v="0"/>
    <n v="0.93799999999999994"/>
    <n v="1"/>
    <x v="0"/>
  </r>
  <r>
    <x v="205"/>
    <s v="U6535"/>
    <n v="509.39"/>
    <x v="0"/>
    <x v="3"/>
    <x v="1"/>
    <x v="4"/>
    <n v="268"/>
    <n v="8"/>
    <n v="2"/>
    <n v="11162.37"/>
    <n v="0"/>
    <n v="0.04"/>
    <n v="4"/>
    <x v="1"/>
  </r>
  <r>
    <x v="206"/>
    <s v="U5362"/>
    <n v="5118.5"/>
    <x v="0"/>
    <x v="2"/>
    <x v="2"/>
    <x v="1"/>
    <n v="33"/>
    <n v="9"/>
    <n v="1"/>
    <n v="18473.48"/>
    <n v="0"/>
    <n v="0.436"/>
    <n v="1"/>
    <x v="0"/>
  </r>
  <r>
    <x v="207"/>
    <s v="U4000"/>
    <n v="33191.910000000003"/>
    <x v="1"/>
    <x v="1"/>
    <x v="1"/>
    <x v="2"/>
    <n v="1041"/>
    <n v="12"/>
    <n v="0"/>
    <n v="17109.189999999999"/>
    <n v="0"/>
    <n v="0.51100000000000001"/>
    <n v="6"/>
    <x v="0"/>
  </r>
  <r>
    <x v="208"/>
    <s v="U9062"/>
    <n v="302.83"/>
    <x v="1"/>
    <x v="3"/>
    <x v="2"/>
    <x v="4"/>
    <n v="1913"/>
    <n v="7"/>
    <n v="3"/>
    <n v="1903.65"/>
    <n v="0"/>
    <n v="0.44"/>
    <n v="4"/>
    <x v="0"/>
  </r>
  <r>
    <x v="209"/>
    <s v="U4570"/>
    <n v="8082.36"/>
    <x v="1"/>
    <x v="0"/>
    <x v="0"/>
    <x v="2"/>
    <n v="237"/>
    <n v="5"/>
    <n v="3"/>
    <n v="1955.58"/>
    <n v="0"/>
    <n v="0.65700000000000003"/>
    <n v="5"/>
    <x v="0"/>
  </r>
  <r>
    <x v="210"/>
    <s v="U1634"/>
    <n v="27459.25"/>
    <x v="0"/>
    <x v="3"/>
    <x v="0"/>
    <x v="1"/>
    <n v="385"/>
    <n v="2"/>
    <n v="3"/>
    <n v="9221.52"/>
    <n v="0"/>
    <n v="2.5999999999999999E-2"/>
    <n v="6"/>
    <x v="0"/>
  </r>
  <r>
    <x v="211"/>
    <s v="U8304"/>
    <n v="34610.17"/>
    <x v="2"/>
    <x v="3"/>
    <x v="2"/>
    <x v="0"/>
    <n v="1156"/>
    <n v="11"/>
    <n v="4"/>
    <n v="23164.84"/>
    <n v="0"/>
    <n v="0.88500000000000001"/>
    <n v="2"/>
    <x v="0"/>
  </r>
  <r>
    <x v="212"/>
    <s v="U2593"/>
    <n v="32615.46"/>
    <x v="1"/>
    <x v="1"/>
    <x v="0"/>
    <x v="3"/>
    <n v="1123"/>
    <n v="8"/>
    <n v="0"/>
    <n v="715.24"/>
    <n v="0"/>
    <n v="0.5"/>
    <n v="1"/>
    <x v="0"/>
  </r>
  <r>
    <x v="213"/>
    <s v="U3997"/>
    <n v="11252.25"/>
    <x v="1"/>
    <x v="3"/>
    <x v="0"/>
    <x v="1"/>
    <n v="1846"/>
    <n v="8"/>
    <n v="1"/>
    <n v="18516.22"/>
    <n v="0"/>
    <n v="0.55400000000000005"/>
    <n v="2"/>
    <x v="1"/>
  </r>
  <r>
    <x v="214"/>
    <s v="U3745"/>
    <n v="35623.35"/>
    <x v="0"/>
    <x v="0"/>
    <x v="0"/>
    <x v="4"/>
    <n v="1489"/>
    <n v="10"/>
    <n v="3"/>
    <n v="5592.68"/>
    <n v="0"/>
    <n v="0.46300000000000002"/>
    <n v="6"/>
    <x v="0"/>
  </r>
  <r>
    <x v="215"/>
    <s v="U1607"/>
    <n v="11900.59"/>
    <x v="1"/>
    <x v="2"/>
    <x v="1"/>
    <x v="0"/>
    <n v="233"/>
    <n v="5"/>
    <n v="2"/>
    <n v="28335.06"/>
    <n v="0"/>
    <n v="0.44500000000000001"/>
    <n v="9"/>
    <x v="0"/>
  </r>
  <r>
    <x v="216"/>
    <s v="U6936"/>
    <n v="16303.71"/>
    <x v="2"/>
    <x v="2"/>
    <x v="2"/>
    <x v="2"/>
    <n v="745"/>
    <n v="1"/>
    <n v="4"/>
    <n v="12963.44"/>
    <n v="0"/>
    <n v="0.187"/>
    <n v="8"/>
    <x v="0"/>
  </r>
  <r>
    <x v="217"/>
    <s v="U7780"/>
    <n v="37337.25"/>
    <x v="0"/>
    <x v="1"/>
    <x v="2"/>
    <x v="0"/>
    <n v="266"/>
    <n v="6"/>
    <n v="1"/>
    <n v="1531.73"/>
    <n v="0"/>
    <n v="0.504"/>
    <n v="1"/>
    <x v="0"/>
  </r>
  <r>
    <x v="218"/>
    <s v="U3538"/>
    <n v="32499.16"/>
    <x v="1"/>
    <x v="0"/>
    <x v="1"/>
    <x v="0"/>
    <n v="524"/>
    <n v="8"/>
    <n v="3"/>
    <n v="21437.79"/>
    <n v="0"/>
    <n v="0.42099999999999999"/>
    <n v="5"/>
    <x v="0"/>
  </r>
  <r>
    <x v="219"/>
    <s v="U4982"/>
    <n v="42468.71"/>
    <x v="1"/>
    <x v="0"/>
    <x v="1"/>
    <x v="4"/>
    <n v="842"/>
    <n v="18"/>
    <n v="1"/>
    <n v="14589.82"/>
    <n v="0"/>
    <n v="0.46800000000000003"/>
    <n v="7"/>
    <x v="0"/>
  </r>
  <r>
    <x v="220"/>
    <s v="U9606"/>
    <n v="32897.760000000002"/>
    <x v="0"/>
    <x v="3"/>
    <x v="0"/>
    <x v="3"/>
    <n v="1816"/>
    <n v="17"/>
    <n v="4"/>
    <n v="26449.09"/>
    <n v="0"/>
    <n v="1.4E-2"/>
    <n v="8"/>
    <x v="1"/>
  </r>
  <r>
    <x v="221"/>
    <s v="U2440"/>
    <n v="28437.01"/>
    <x v="0"/>
    <x v="1"/>
    <x v="2"/>
    <x v="0"/>
    <n v="1851"/>
    <n v="11"/>
    <n v="2"/>
    <n v="19589.57"/>
    <n v="0"/>
    <n v="0.13100000000000001"/>
    <n v="7"/>
    <x v="0"/>
  </r>
  <r>
    <x v="222"/>
    <s v="U4595"/>
    <n v="4729.05"/>
    <x v="1"/>
    <x v="0"/>
    <x v="1"/>
    <x v="0"/>
    <n v="1181"/>
    <n v="20"/>
    <n v="3"/>
    <n v="20806.52"/>
    <n v="0"/>
    <n v="0.76300000000000001"/>
    <n v="1"/>
    <x v="0"/>
  </r>
  <r>
    <x v="223"/>
    <s v="U2186"/>
    <n v="18417.400000000001"/>
    <x v="2"/>
    <x v="0"/>
    <x v="0"/>
    <x v="3"/>
    <n v="1420"/>
    <n v="10"/>
    <n v="2"/>
    <n v="23041.07"/>
    <n v="0"/>
    <n v="0.41899999999999998"/>
    <n v="4"/>
    <x v="0"/>
  </r>
  <r>
    <x v="224"/>
    <s v="U1130"/>
    <n v="13296.86"/>
    <x v="0"/>
    <x v="0"/>
    <x v="2"/>
    <x v="3"/>
    <n v="710"/>
    <n v="9"/>
    <n v="4"/>
    <n v="12668.6"/>
    <n v="0"/>
    <n v="0.74299999999999999"/>
    <n v="4"/>
    <x v="0"/>
  </r>
  <r>
    <x v="225"/>
    <s v="U9700"/>
    <n v="12237.28"/>
    <x v="2"/>
    <x v="2"/>
    <x v="0"/>
    <x v="2"/>
    <n v="920"/>
    <n v="22"/>
    <n v="2"/>
    <n v="23797.16"/>
    <n v="0"/>
    <n v="0.17100000000000001"/>
    <n v="9"/>
    <x v="0"/>
  </r>
  <r>
    <x v="226"/>
    <s v="U6095"/>
    <n v="48651.88"/>
    <x v="1"/>
    <x v="2"/>
    <x v="2"/>
    <x v="2"/>
    <n v="708"/>
    <n v="2"/>
    <n v="4"/>
    <n v="1613.63"/>
    <n v="0"/>
    <n v="0.69799999999999995"/>
    <n v="6"/>
    <x v="0"/>
  </r>
  <r>
    <x v="227"/>
    <s v="U8167"/>
    <n v="19685.23"/>
    <x v="2"/>
    <x v="2"/>
    <x v="0"/>
    <x v="3"/>
    <n v="447"/>
    <n v="11"/>
    <n v="2"/>
    <n v="22989.27"/>
    <n v="0"/>
    <n v="0.28899999999999998"/>
    <n v="6"/>
    <x v="0"/>
  </r>
  <r>
    <x v="228"/>
    <s v="U7347"/>
    <n v="44607.73"/>
    <x v="1"/>
    <x v="3"/>
    <x v="2"/>
    <x v="1"/>
    <n v="1733"/>
    <n v="3"/>
    <n v="1"/>
    <n v="19125.599999999999"/>
    <n v="0"/>
    <n v="0.70499999999999996"/>
    <n v="5"/>
    <x v="0"/>
  </r>
  <r>
    <x v="229"/>
    <s v="U1289"/>
    <n v="31575.37"/>
    <x v="1"/>
    <x v="3"/>
    <x v="2"/>
    <x v="3"/>
    <n v="1669"/>
    <n v="9"/>
    <n v="1"/>
    <n v="17043.28"/>
    <n v="0"/>
    <n v="8.6999999999999994E-2"/>
    <n v="5"/>
    <x v="1"/>
  </r>
  <r>
    <x v="230"/>
    <s v="U1111"/>
    <n v="39750.82"/>
    <x v="1"/>
    <x v="3"/>
    <x v="2"/>
    <x v="2"/>
    <n v="46"/>
    <n v="1"/>
    <n v="4"/>
    <n v="9612.7000000000007"/>
    <n v="0"/>
    <n v="0.33400000000000002"/>
    <n v="9"/>
    <x v="0"/>
  </r>
  <r>
    <x v="231"/>
    <s v="U1878"/>
    <n v="25156.720000000001"/>
    <x v="1"/>
    <x v="0"/>
    <x v="2"/>
    <x v="4"/>
    <n v="1694"/>
    <n v="11"/>
    <n v="1"/>
    <n v="3511.97"/>
    <n v="0"/>
    <n v="0.11899999999999999"/>
    <n v="2"/>
    <x v="0"/>
  </r>
  <r>
    <x v="232"/>
    <s v="U5424"/>
    <n v="28866.35"/>
    <x v="2"/>
    <x v="2"/>
    <x v="0"/>
    <x v="4"/>
    <n v="115"/>
    <n v="10"/>
    <n v="2"/>
    <n v="19451.3"/>
    <n v="0"/>
    <n v="0.63"/>
    <n v="5"/>
    <x v="0"/>
  </r>
  <r>
    <x v="233"/>
    <s v="U5332"/>
    <n v="24651.26"/>
    <x v="1"/>
    <x v="0"/>
    <x v="1"/>
    <x v="0"/>
    <n v="624"/>
    <n v="13"/>
    <n v="2"/>
    <n v="14202.96"/>
    <n v="0"/>
    <n v="0.39300000000000002"/>
    <n v="1"/>
    <x v="0"/>
  </r>
  <r>
    <x v="234"/>
    <s v="U3511"/>
    <n v="9802.39"/>
    <x v="1"/>
    <x v="0"/>
    <x v="2"/>
    <x v="4"/>
    <n v="1952"/>
    <n v="14"/>
    <n v="3"/>
    <n v="6613.56"/>
    <n v="0"/>
    <n v="7.3999999999999996E-2"/>
    <n v="5"/>
    <x v="0"/>
  </r>
  <r>
    <x v="235"/>
    <s v="U9467"/>
    <n v="36136.480000000003"/>
    <x v="2"/>
    <x v="1"/>
    <x v="2"/>
    <x v="2"/>
    <n v="1922"/>
    <n v="13"/>
    <n v="4"/>
    <n v="1396.66"/>
    <n v="0"/>
    <n v="0.52600000000000002"/>
    <n v="4"/>
    <x v="0"/>
  </r>
  <r>
    <x v="236"/>
    <s v="U9056"/>
    <n v="14074.58"/>
    <x v="0"/>
    <x v="0"/>
    <x v="2"/>
    <x v="4"/>
    <n v="241"/>
    <n v="11"/>
    <n v="1"/>
    <n v="16209.08"/>
    <n v="0"/>
    <n v="2.5000000000000001E-2"/>
    <n v="4"/>
    <x v="0"/>
  </r>
  <r>
    <x v="237"/>
    <s v="U6531"/>
    <n v="1264.58"/>
    <x v="2"/>
    <x v="3"/>
    <x v="2"/>
    <x v="1"/>
    <n v="876"/>
    <n v="1"/>
    <n v="4"/>
    <n v="3876.26"/>
    <n v="0"/>
    <n v="0.81799999999999995"/>
    <n v="4"/>
    <x v="0"/>
  </r>
  <r>
    <x v="238"/>
    <s v="U2018"/>
    <n v="32291.34"/>
    <x v="2"/>
    <x v="2"/>
    <x v="0"/>
    <x v="3"/>
    <n v="1179"/>
    <n v="22"/>
    <n v="1"/>
    <n v="27889.64"/>
    <n v="0"/>
    <n v="0.93799999999999994"/>
    <n v="3"/>
    <x v="0"/>
  </r>
  <r>
    <x v="239"/>
    <s v="U7639"/>
    <n v="8896.68"/>
    <x v="2"/>
    <x v="2"/>
    <x v="1"/>
    <x v="3"/>
    <n v="1050"/>
    <n v="1"/>
    <n v="3"/>
    <n v="4603.8900000000003"/>
    <n v="0"/>
    <n v="0.81"/>
    <n v="6"/>
    <x v="0"/>
  </r>
  <r>
    <x v="240"/>
    <s v="U6347"/>
    <n v="47025.91"/>
    <x v="1"/>
    <x v="0"/>
    <x v="1"/>
    <x v="2"/>
    <n v="1192"/>
    <n v="0"/>
    <n v="2"/>
    <n v="1057.56"/>
    <n v="0"/>
    <n v="0.95199999999999996"/>
    <n v="3"/>
    <x v="0"/>
  </r>
  <r>
    <x v="241"/>
    <s v="U7705"/>
    <n v="47698.73"/>
    <x v="1"/>
    <x v="3"/>
    <x v="1"/>
    <x v="0"/>
    <n v="969"/>
    <n v="19"/>
    <n v="2"/>
    <n v="7935.22"/>
    <n v="0"/>
    <n v="0.89700000000000002"/>
    <n v="6"/>
    <x v="0"/>
  </r>
  <r>
    <x v="242"/>
    <s v="U4337"/>
    <n v="45747.48"/>
    <x v="1"/>
    <x v="3"/>
    <x v="0"/>
    <x v="3"/>
    <n v="1849"/>
    <n v="14"/>
    <n v="0"/>
    <n v="5331.2"/>
    <n v="0"/>
    <n v="0.89500000000000002"/>
    <n v="6"/>
    <x v="0"/>
  </r>
  <r>
    <x v="243"/>
    <s v="U7667"/>
    <n v="18539.43"/>
    <x v="0"/>
    <x v="3"/>
    <x v="1"/>
    <x v="4"/>
    <n v="1315"/>
    <n v="21"/>
    <n v="4"/>
    <n v="23758.02"/>
    <n v="0"/>
    <n v="0.245"/>
    <n v="2"/>
    <x v="0"/>
  </r>
  <r>
    <x v="244"/>
    <s v="U3625"/>
    <n v="822.06"/>
    <x v="1"/>
    <x v="2"/>
    <x v="0"/>
    <x v="1"/>
    <n v="287"/>
    <n v="9"/>
    <n v="1"/>
    <n v="8751.34"/>
    <n v="0"/>
    <n v="0.23100000000000001"/>
    <n v="9"/>
    <x v="0"/>
  </r>
  <r>
    <x v="245"/>
    <s v="U6458"/>
    <n v="46419.51"/>
    <x v="0"/>
    <x v="3"/>
    <x v="0"/>
    <x v="0"/>
    <n v="134"/>
    <n v="19"/>
    <n v="0"/>
    <n v="7432.69"/>
    <n v="0"/>
    <n v="0.80900000000000005"/>
    <n v="8"/>
    <x v="0"/>
  </r>
  <r>
    <x v="246"/>
    <s v="U4017"/>
    <n v="21437.8"/>
    <x v="1"/>
    <x v="3"/>
    <x v="2"/>
    <x v="0"/>
    <n v="1718"/>
    <n v="0"/>
    <n v="4"/>
    <n v="29844.77"/>
    <n v="0"/>
    <n v="0.49099999999999999"/>
    <n v="7"/>
    <x v="0"/>
  </r>
  <r>
    <x v="247"/>
    <s v="U7376"/>
    <n v="48334.41"/>
    <x v="2"/>
    <x v="0"/>
    <x v="0"/>
    <x v="0"/>
    <n v="1453"/>
    <n v="0"/>
    <n v="1"/>
    <n v="4586.8500000000004"/>
    <n v="0"/>
    <n v="0.94199999999999995"/>
    <n v="9"/>
    <x v="0"/>
  </r>
  <r>
    <x v="248"/>
    <s v="U4452"/>
    <n v="48182.82"/>
    <x v="1"/>
    <x v="1"/>
    <x v="1"/>
    <x v="3"/>
    <n v="1353"/>
    <n v="0"/>
    <n v="3"/>
    <n v="2641.46"/>
    <n v="0"/>
    <n v="0.89700000000000002"/>
    <n v="8"/>
    <x v="0"/>
  </r>
  <r>
    <x v="249"/>
    <s v="U6082"/>
    <n v="42657.82"/>
    <x v="0"/>
    <x v="3"/>
    <x v="1"/>
    <x v="0"/>
    <n v="684"/>
    <n v="22"/>
    <n v="4"/>
    <n v="9238.16"/>
    <n v="0"/>
    <n v="0.89300000000000002"/>
    <n v="9"/>
    <x v="0"/>
  </r>
  <r>
    <x v="250"/>
    <s v="U6484"/>
    <n v="14757.72"/>
    <x v="0"/>
    <x v="0"/>
    <x v="1"/>
    <x v="2"/>
    <n v="724"/>
    <n v="10"/>
    <n v="1"/>
    <n v="12212.2"/>
    <n v="0"/>
    <n v="0.32600000000000001"/>
    <n v="8"/>
    <x v="0"/>
  </r>
  <r>
    <x v="251"/>
    <s v="U1877"/>
    <n v="19285.63"/>
    <x v="1"/>
    <x v="0"/>
    <x v="2"/>
    <x v="4"/>
    <n v="1515"/>
    <n v="11"/>
    <n v="2"/>
    <n v="22836.68"/>
    <n v="0"/>
    <n v="0.13300000000000001"/>
    <n v="3"/>
    <x v="0"/>
  </r>
  <r>
    <x v="252"/>
    <s v="U2994"/>
    <n v="42564.28"/>
    <x v="2"/>
    <x v="3"/>
    <x v="2"/>
    <x v="1"/>
    <n v="1883"/>
    <n v="14"/>
    <n v="4"/>
    <n v="28667.77"/>
    <n v="0"/>
    <n v="0.67800000000000005"/>
    <n v="1"/>
    <x v="0"/>
  </r>
  <r>
    <x v="253"/>
    <s v="U7401"/>
    <n v="15880.25"/>
    <x v="1"/>
    <x v="1"/>
    <x v="2"/>
    <x v="4"/>
    <n v="676"/>
    <n v="13"/>
    <n v="1"/>
    <n v="22933.95"/>
    <n v="0"/>
    <n v="0.441"/>
    <n v="6"/>
    <x v="1"/>
  </r>
  <r>
    <x v="254"/>
    <s v="U3238"/>
    <n v="8516.16"/>
    <x v="1"/>
    <x v="2"/>
    <x v="0"/>
    <x v="2"/>
    <n v="1357"/>
    <n v="22"/>
    <n v="2"/>
    <n v="21826.49"/>
    <n v="0"/>
    <n v="0.93400000000000005"/>
    <n v="3"/>
    <x v="0"/>
  </r>
  <r>
    <x v="255"/>
    <s v="U1242"/>
    <n v="27862.22"/>
    <x v="1"/>
    <x v="1"/>
    <x v="1"/>
    <x v="2"/>
    <n v="922"/>
    <n v="0"/>
    <n v="2"/>
    <n v="29744.29"/>
    <n v="0"/>
    <n v="0.85399999999999998"/>
    <n v="3"/>
    <x v="1"/>
  </r>
  <r>
    <x v="256"/>
    <s v="U9237"/>
    <n v="46810.93"/>
    <x v="2"/>
    <x v="3"/>
    <x v="0"/>
    <x v="4"/>
    <n v="1999"/>
    <n v="0"/>
    <n v="0"/>
    <n v="22984.38"/>
    <n v="0"/>
    <n v="0.92900000000000005"/>
    <n v="6"/>
    <x v="0"/>
  </r>
  <r>
    <x v="257"/>
    <s v="U8720"/>
    <n v="34816.69"/>
    <x v="0"/>
    <x v="1"/>
    <x v="0"/>
    <x v="3"/>
    <n v="404"/>
    <n v="5"/>
    <n v="1"/>
    <n v="4272.04"/>
    <n v="0"/>
    <n v="0.56799999999999995"/>
    <n v="9"/>
    <x v="0"/>
  </r>
  <r>
    <x v="258"/>
    <s v="U3944"/>
    <n v="28524.560000000001"/>
    <x v="2"/>
    <x v="0"/>
    <x v="1"/>
    <x v="2"/>
    <n v="782"/>
    <n v="23"/>
    <n v="0"/>
    <n v="13899.74"/>
    <n v="0"/>
    <n v="0.52600000000000002"/>
    <n v="5"/>
    <x v="0"/>
  </r>
  <r>
    <x v="259"/>
    <s v="U7319"/>
    <n v="4903.97"/>
    <x v="0"/>
    <x v="0"/>
    <x v="2"/>
    <x v="0"/>
    <n v="195"/>
    <n v="22"/>
    <n v="0"/>
    <n v="15154.79"/>
    <n v="1"/>
    <n v="0.84699999999999998"/>
    <n v="1"/>
    <x v="0"/>
  </r>
  <r>
    <x v="260"/>
    <s v="U3124"/>
    <n v="30769.61"/>
    <x v="0"/>
    <x v="1"/>
    <x v="1"/>
    <x v="1"/>
    <n v="1922"/>
    <n v="21"/>
    <n v="3"/>
    <n v="9213.83"/>
    <n v="0"/>
    <n v="0.51200000000000001"/>
    <n v="7"/>
    <x v="0"/>
  </r>
  <r>
    <x v="261"/>
    <s v="U9665"/>
    <n v="49503.19"/>
    <x v="0"/>
    <x v="2"/>
    <x v="0"/>
    <x v="1"/>
    <n v="475"/>
    <n v="2"/>
    <n v="0"/>
    <n v="5011.84"/>
    <n v="0"/>
    <n v="0.9"/>
    <n v="9"/>
    <x v="0"/>
  </r>
  <r>
    <x v="262"/>
    <s v="U8760"/>
    <n v="7047.2"/>
    <x v="2"/>
    <x v="1"/>
    <x v="0"/>
    <x v="2"/>
    <n v="1090"/>
    <n v="13"/>
    <n v="0"/>
    <n v="21381.040000000001"/>
    <n v="0"/>
    <n v="3.4000000000000002E-2"/>
    <n v="2"/>
    <x v="0"/>
  </r>
  <r>
    <x v="263"/>
    <s v="U9441"/>
    <n v="25940.57"/>
    <x v="1"/>
    <x v="3"/>
    <x v="2"/>
    <x v="0"/>
    <n v="1762"/>
    <n v="22"/>
    <n v="3"/>
    <n v="8397.09"/>
    <n v="0"/>
    <n v="0.35899999999999999"/>
    <n v="9"/>
    <x v="0"/>
  </r>
  <r>
    <x v="264"/>
    <s v="U7291"/>
    <n v="43874.78"/>
    <x v="1"/>
    <x v="2"/>
    <x v="0"/>
    <x v="4"/>
    <n v="467"/>
    <n v="5"/>
    <n v="3"/>
    <n v="18777.18"/>
    <n v="1"/>
    <n v="0.83499999999999996"/>
    <n v="5"/>
    <x v="0"/>
  </r>
  <r>
    <x v="265"/>
    <s v="U7048"/>
    <n v="37051.39"/>
    <x v="1"/>
    <x v="1"/>
    <x v="0"/>
    <x v="1"/>
    <n v="1010"/>
    <n v="7"/>
    <n v="4"/>
    <n v="9745.43"/>
    <n v="1"/>
    <n v="0.21"/>
    <n v="1"/>
    <x v="0"/>
  </r>
  <r>
    <x v="266"/>
    <s v="U7718"/>
    <n v="34865.94"/>
    <x v="1"/>
    <x v="1"/>
    <x v="1"/>
    <x v="0"/>
    <n v="1241"/>
    <n v="19"/>
    <n v="0"/>
    <n v="15236.47"/>
    <n v="0"/>
    <n v="0.39900000000000002"/>
    <n v="4"/>
    <x v="0"/>
  </r>
  <r>
    <x v="267"/>
    <s v="U3596"/>
    <n v="35139.08"/>
    <x v="1"/>
    <x v="2"/>
    <x v="2"/>
    <x v="0"/>
    <n v="1747"/>
    <n v="14"/>
    <n v="2"/>
    <n v="10177.879999999999"/>
    <n v="0"/>
    <n v="0.01"/>
    <n v="8"/>
    <x v="1"/>
  </r>
  <r>
    <x v="268"/>
    <s v="U8731"/>
    <n v="18006.580000000002"/>
    <x v="2"/>
    <x v="1"/>
    <x v="1"/>
    <x v="3"/>
    <n v="83"/>
    <n v="16"/>
    <n v="3"/>
    <n v="12411.58"/>
    <n v="0"/>
    <n v="0.30199999999999999"/>
    <n v="3"/>
    <x v="0"/>
  </r>
  <r>
    <x v="269"/>
    <s v="U5602"/>
    <n v="14714.91"/>
    <x v="2"/>
    <x v="3"/>
    <x v="1"/>
    <x v="2"/>
    <n v="1517"/>
    <n v="22"/>
    <n v="1"/>
    <n v="21988.79"/>
    <n v="0"/>
    <n v="0.31900000000000001"/>
    <n v="5"/>
    <x v="0"/>
  </r>
  <r>
    <x v="270"/>
    <s v="U9776"/>
    <n v="40477.589999999997"/>
    <x v="2"/>
    <x v="0"/>
    <x v="1"/>
    <x v="0"/>
    <n v="1118"/>
    <n v="8"/>
    <n v="4"/>
    <n v="26526.36"/>
    <n v="0"/>
    <n v="0.73299999999999998"/>
    <n v="2"/>
    <x v="0"/>
  </r>
  <r>
    <x v="271"/>
    <s v="U1870"/>
    <n v="40515.160000000003"/>
    <x v="2"/>
    <x v="3"/>
    <x v="0"/>
    <x v="4"/>
    <n v="641"/>
    <n v="15"/>
    <n v="4"/>
    <n v="15311.5"/>
    <n v="0"/>
    <n v="0.67700000000000005"/>
    <n v="5"/>
    <x v="0"/>
  </r>
  <r>
    <x v="272"/>
    <s v="U3437"/>
    <n v="43360.26"/>
    <x v="2"/>
    <x v="1"/>
    <x v="0"/>
    <x v="1"/>
    <n v="1047"/>
    <n v="0"/>
    <n v="0"/>
    <n v="18346.509999999998"/>
    <n v="0"/>
    <n v="0.44500000000000001"/>
    <n v="9"/>
    <x v="0"/>
  </r>
  <r>
    <x v="273"/>
    <s v="U8248"/>
    <n v="45666.37"/>
    <x v="2"/>
    <x v="0"/>
    <x v="2"/>
    <x v="3"/>
    <n v="849"/>
    <n v="15"/>
    <n v="2"/>
    <n v="25945.85"/>
    <n v="0"/>
    <n v="0.72899999999999998"/>
    <n v="3"/>
    <x v="0"/>
  </r>
  <r>
    <x v="274"/>
    <s v="U1062"/>
    <n v="25591.55"/>
    <x v="2"/>
    <x v="2"/>
    <x v="0"/>
    <x v="4"/>
    <n v="1674"/>
    <n v="18"/>
    <n v="3"/>
    <n v="4382.3500000000004"/>
    <n v="0"/>
    <n v="0.42799999999999999"/>
    <n v="7"/>
    <x v="0"/>
  </r>
  <r>
    <x v="275"/>
    <s v="U9482"/>
    <n v="25100.74"/>
    <x v="1"/>
    <x v="3"/>
    <x v="2"/>
    <x v="1"/>
    <n v="921"/>
    <n v="22"/>
    <n v="1"/>
    <n v="4949.72"/>
    <n v="0"/>
    <n v="0.435"/>
    <n v="6"/>
    <x v="0"/>
  </r>
  <r>
    <x v="276"/>
    <s v="U6893"/>
    <n v="39924.839999999997"/>
    <x v="0"/>
    <x v="2"/>
    <x v="1"/>
    <x v="2"/>
    <n v="803"/>
    <n v="8"/>
    <n v="0"/>
    <n v="10841.18"/>
    <n v="0"/>
    <n v="0.64600000000000002"/>
    <n v="2"/>
    <x v="0"/>
  </r>
  <r>
    <x v="277"/>
    <s v="U1536"/>
    <n v="32515.7"/>
    <x v="2"/>
    <x v="0"/>
    <x v="1"/>
    <x v="4"/>
    <n v="58"/>
    <n v="16"/>
    <n v="2"/>
    <n v="9341.14"/>
    <n v="0"/>
    <n v="0.72299999999999998"/>
    <n v="7"/>
    <x v="0"/>
  </r>
  <r>
    <x v="278"/>
    <s v="U4898"/>
    <n v="35113.25"/>
    <x v="0"/>
    <x v="1"/>
    <x v="0"/>
    <x v="1"/>
    <n v="1459"/>
    <n v="5"/>
    <n v="0"/>
    <n v="29592.57"/>
    <n v="0"/>
    <n v="0.84699999999999998"/>
    <n v="4"/>
    <x v="0"/>
  </r>
  <r>
    <x v="279"/>
    <s v="U2474"/>
    <n v="39799.839999999997"/>
    <x v="2"/>
    <x v="0"/>
    <x v="0"/>
    <x v="3"/>
    <n v="975"/>
    <n v="13"/>
    <n v="0"/>
    <n v="16966.349999999999"/>
    <n v="0"/>
    <n v="0.751"/>
    <n v="6"/>
    <x v="0"/>
  </r>
  <r>
    <x v="280"/>
    <s v="U5254"/>
    <n v="44505.77"/>
    <x v="2"/>
    <x v="0"/>
    <x v="2"/>
    <x v="1"/>
    <n v="368"/>
    <n v="17"/>
    <n v="4"/>
    <n v="15764.81"/>
    <n v="0"/>
    <n v="0.67"/>
    <n v="7"/>
    <x v="0"/>
  </r>
  <r>
    <x v="281"/>
    <s v="U9624"/>
    <n v="16932.86"/>
    <x v="1"/>
    <x v="2"/>
    <x v="0"/>
    <x v="0"/>
    <n v="251"/>
    <n v="20"/>
    <n v="1"/>
    <n v="17403.689999999999"/>
    <n v="1"/>
    <n v="0.56100000000000005"/>
    <n v="9"/>
    <x v="0"/>
  </r>
  <r>
    <x v="282"/>
    <s v="U3963"/>
    <n v="18810.37"/>
    <x v="0"/>
    <x v="3"/>
    <x v="0"/>
    <x v="3"/>
    <n v="1867"/>
    <n v="13"/>
    <n v="1"/>
    <n v="26267.119999999999"/>
    <n v="0"/>
    <n v="0.308"/>
    <n v="7"/>
    <x v="0"/>
  </r>
  <r>
    <x v="283"/>
    <s v="U7495"/>
    <n v="4744.3999999999996"/>
    <x v="1"/>
    <x v="0"/>
    <x v="0"/>
    <x v="4"/>
    <n v="1086"/>
    <n v="22"/>
    <n v="1"/>
    <n v="7382.08"/>
    <n v="1"/>
    <n v="0.26100000000000001"/>
    <n v="3"/>
    <x v="0"/>
  </r>
  <r>
    <x v="284"/>
    <s v="U6593"/>
    <n v="28935.09"/>
    <x v="1"/>
    <x v="1"/>
    <x v="1"/>
    <x v="2"/>
    <n v="1810"/>
    <n v="6"/>
    <n v="1"/>
    <n v="15377.92"/>
    <n v="0"/>
    <n v="0.84299999999999997"/>
    <n v="9"/>
    <x v="0"/>
  </r>
  <r>
    <x v="285"/>
    <s v="U8855"/>
    <n v="1845.32"/>
    <x v="0"/>
    <x v="0"/>
    <x v="0"/>
    <x v="3"/>
    <n v="1102"/>
    <n v="9"/>
    <n v="3"/>
    <n v="8201.7999999999993"/>
    <n v="0"/>
    <n v="0.71699999999999997"/>
    <n v="6"/>
    <x v="0"/>
  </r>
  <r>
    <x v="286"/>
    <s v="U8086"/>
    <n v="23306.62"/>
    <x v="1"/>
    <x v="2"/>
    <x v="0"/>
    <x v="3"/>
    <n v="1585"/>
    <n v="15"/>
    <n v="3"/>
    <n v="23439.23"/>
    <n v="0"/>
    <n v="0.66500000000000004"/>
    <n v="4"/>
    <x v="0"/>
  </r>
  <r>
    <x v="287"/>
    <s v="U2601"/>
    <n v="27155.1"/>
    <x v="2"/>
    <x v="3"/>
    <x v="1"/>
    <x v="3"/>
    <n v="1729"/>
    <n v="6"/>
    <n v="1"/>
    <n v="23335.75"/>
    <n v="0"/>
    <n v="0.25900000000000001"/>
    <n v="5"/>
    <x v="0"/>
  </r>
  <r>
    <x v="288"/>
    <s v="U8290"/>
    <n v="14362.74"/>
    <x v="2"/>
    <x v="1"/>
    <x v="1"/>
    <x v="1"/>
    <n v="1678"/>
    <n v="19"/>
    <n v="2"/>
    <n v="28727.15"/>
    <n v="1"/>
    <n v="0.97"/>
    <n v="1"/>
    <x v="0"/>
  </r>
  <r>
    <x v="289"/>
    <s v="U5456"/>
    <n v="29562.12"/>
    <x v="2"/>
    <x v="2"/>
    <x v="1"/>
    <x v="0"/>
    <n v="65"/>
    <n v="5"/>
    <n v="3"/>
    <n v="13459.98"/>
    <n v="0"/>
    <n v="8.1000000000000003E-2"/>
    <n v="4"/>
    <x v="0"/>
  </r>
  <r>
    <x v="290"/>
    <s v="U4415"/>
    <n v="1573.49"/>
    <x v="2"/>
    <x v="0"/>
    <x v="1"/>
    <x v="2"/>
    <n v="888"/>
    <n v="5"/>
    <n v="3"/>
    <n v="4843.67"/>
    <n v="0"/>
    <n v="0.83799999999999997"/>
    <n v="3"/>
    <x v="0"/>
  </r>
  <r>
    <x v="291"/>
    <s v="U9055"/>
    <n v="1915.54"/>
    <x v="2"/>
    <x v="0"/>
    <x v="0"/>
    <x v="2"/>
    <n v="1489"/>
    <n v="6"/>
    <n v="2"/>
    <n v="26902.69"/>
    <n v="0"/>
    <n v="0.21099999999999999"/>
    <n v="6"/>
    <x v="0"/>
  </r>
  <r>
    <x v="292"/>
    <s v="U1075"/>
    <n v="41138.9"/>
    <x v="1"/>
    <x v="3"/>
    <x v="0"/>
    <x v="0"/>
    <n v="264"/>
    <n v="21"/>
    <n v="1"/>
    <n v="26729.02"/>
    <n v="0"/>
    <n v="0.39200000000000002"/>
    <n v="9"/>
    <x v="0"/>
  </r>
  <r>
    <x v="293"/>
    <s v="U1739"/>
    <n v="18041.52"/>
    <x v="1"/>
    <x v="2"/>
    <x v="0"/>
    <x v="1"/>
    <n v="14"/>
    <n v="16"/>
    <n v="0"/>
    <n v="7116.62"/>
    <n v="0"/>
    <n v="0.42799999999999999"/>
    <n v="3"/>
    <x v="0"/>
  </r>
  <r>
    <x v="294"/>
    <s v="U7896"/>
    <n v="6396.67"/>
    <x v="2"/>
    <x v="2"/>
    <x v="2"/>
    <x v="1"/>
    <n v="1614"/>
    <n v="7"/>
    <n v="3"/>
    <n v="8360.4699999999993"/>
    <n v="0"/>
    <n v="0.66300000000000003"/>
    <n v="5"/>
    <x v="0"/>
  </r>
  <r>
    <x v="295"/>
    <s v="U9390"/>
    <n v="26136.05"/>
    <x v="2"/>
    <x v="3"/>
    <x v="1"/>
    <x v="0"/>
    <n v="1085"/>
    <n v="1"/>
    <n v="0"/>
    <n v="9471.08"/>
    <n v="0"/>
    <n v="0.54700000000000004"/>
    <n v="2"/>
    <x v="0"/>
  </r>
  <r>
    <x v="296"/>
    <s v="U4947"/>
    <n v="38511.18"/>
    <x v="1"/>
    <x v="1"/>
    <x v="0"/>
    <x v="0"/>
    <n v="338"/>
    <n v="18"/>
    <n v="0"/>
    <n v="13607.33"/>
    <n v="0"/>
    <n v="0.186"/>
    <n v="9"/>
    <x v="0"/>
  </r>
  <r>
    <x v="297"/>
    <s v="U7708"/>
    <n v="10830.26"/>
    <x v="0"/>
    <x v="2"/>
    <x v="0"/>
    <x v="4"/>
    <n v="107"/>
    <n v="20"/>
    <n v="2"/>
    <n v="24888.39"/>
    <n v="0"/>
    <n v="0.03"/>
    <n v="8"/>
    <x v="0"/>
  </r>
  <r>
    <x v="298"/>
    <s v="U3105"/>
    <n v="31163.38"/>
    <x v="1"/>
    <x v="3"/>
    <x v="0"/>
    <x v="1"/>
    <n v="1194"/>
    <n v="21"/>
    <n v="1"/>
    <n v="4416.66"/>
    <n v="0"/>
    <n v="0.71699999999999997"/>
    <n v="4"/>
    <x v="0"/>
  </r>
  <r>
    <x v="299"/>
    <s v="U2793"/>
    <n v="4313.1099999999997"/>
    <x v="1"/>
    <x v="2"/>
    <x v="1"/>
    <x v="3"/>
    <n v="1439"/>
    <n v="6"/>
    <n v="0"/>
    <n v="21041.69"/>
    <n v="0"/>
    <n v="0.505"/>
    <n v="8"/>
    <x v="0"/>
  </r>
  <r>
    <x v="300"/>
    <s v="U5700"/>
    <n v="2631.5"/>
    <x v="1"/>
    <x v="3"/>
    <x v="1"/>
    <x v="2"/>
    <n v="990"/>
    <n v="11"/>
    <n v="1"/>
    <n v="10648.73"/>
    <n v="0"/>
    <n v="0.36199999999999999"/>
    <n v="4"/>
    <x v="0"/>
  </r>
  <r>
    <x v="301"/>
    <s v="U4599"/>
    <n v="26591.16"/>
    <x v="1"/>
    <x v="0"/>
    <x v="1"/>
    <x v="1"/>
    <n v="1012"/>
    <n v="19"/>
    <n v="4"/>
    <n v="5950.33"/>
    <n v="0"/>
    <n v="0.28499999999999998"/>
    <n v="2"/>
    <x v="0"/>
  </r>
  <r>
    <x v="302"/>
    <s v="U6839"/>
    <n v="27054.720000000001"/>
    <x v="1"/>
    <x v="0"/>
    <x v="0"/>
    <x v="0"/>
    <n v="792"/>
    <n v="2"/>
    <n v="1"/>
    <n v="10219.31"/>
    <n v="0"/>
    <n v="0.82299999999999995"/>
    <n v="9"/>
    <x v="0"/>
  </r>
  <r>
    <x v="303"/>
    <s v="U2332"/>
    <n v="31889.62"/>
    <x v="0"/>
    <x v="2"/>
    <x v="1"/>
    <x v="3"/>
    <n v="586"/>
    <n v="3"/>
    <n v="2"/>
    <n v="16044.95"/>
    <n v="0"/>
    <n v="0.79600000000000004"/>
    <n v="2"/>
    <x v="1"/>
  </r>
  <r>
    <x v="304"/>
    <s v="U7942"/>
    <n v="36318.26"/>
    <x v="2"/>
    <x v="2"/>
    <x v="0"/>
    <x v="4"/>
    <n v="336"/>
    <n v="10"/>
    <n v="2"/>
    <n v="27650.28"/>
    <n v="0"/>
    <n v="0.82599999999999996"/>
    <n v="1"/>
    <x v="0"/>
  </r>
  <r>
    <x v="305"/>
    <s v="U5148"/>
    <n v="48793.81"/>
    <x v="2"/>
    <x v="0"/>
    <x v="2"/>
    <x v="4"/>
    <n v="1952"/>
    <n v="11"/>
    <n v="4"/>
    <n v="18885.23"/>
    <n v="1"/>
    <n v="0.219"/>
    <n v="1"/>
    <x v="0"/>
  </r>
  <r>
    <x v="306"/>
    <s v="U6318"/>
    <n v="25839.200000000001"/>
    <x v="0"/>
    <x v="1"/>
    <x v="1"/>
    <x v="3"/>
    <n v="252"/>
    <n v="18"/>
    <n v="2"/>
    <n v="18251.73"/>
    <n v="0"/>
    <n v="0.85199999999999998"/>
    <n v="3"/>
    <x v="0"/>
  </r>
  <r>
    <x v="307"/>
    <s v="U6076"/>
    <n v="16181.68"/>
    <x v="2"/>
    <x v="3"/>
    <x v="1"/>
    <x v="3"/>
    <n v="1537"/>
    <n v="18"/>
    <n v="1"/>
    <n v="3351.36"/>
    <n v="0"/>
    <n v="0.98599999999999999"/>
    <n v="7"/>
    <x v="0"/>
  </r>
  <r>
    <x v="308"/>
    <s v="U3242"/>
    <n v="39769.550000000003"/>
    <x v="2"/>
    <x v="1"/>
    <x v="0"/>
    <x v="0"/>
    <n v="376"/>
    <n v="10"/>
    <n v="1"/>
    <n v="2486.0500000000002"/>
    <n v="0"/>
    <n v="0.59899999999999998"/>
    <n v="6"/>
    <x v="0"/>
  </r>
  <r>
    <x v="309"/>
    <s v="U4484"/>
    <n v="13578.07"/>
    <x v="2"/>
    <x v="1"/>
    <x v="1"/>
    <x v="0"/>
    <n v="783"/>
    <n v="12"/>
    <n v="1"/>
    <n v="3970.96"/>
    <n v="0"/>
    <n v="4.7E-2"/>
    <n v="3"/>
    <x v="0"/>
  </r>
  <r>
    <x v="310"/>
    <s v="U1115"/>
    <n v="21976.62"/>
    <x v="0"/>
    <x v="1"/>
    <x v="1"/>
    <x v="2"/>
    <n v="733"/>
    <n v="23"/>
    <n v="2"/>
    <n v="2956.81"/>
    <n v="0"/>
    <n v="0.70199999999999996"/>
    <n v="5"/>
    <x v="0"/>
  </r>
  <r>
    <x v="311"/>
    <s v="U6968"/>
    <n v="3968.9"/>
    <x v="0"/>
    <x v="0"/>
    <x v="0"/>
    <x v="2"/>
    <n v="1475"/>
    <n v="0"/>
    <n v="1"/>
    <n v="17333.3"/>
    <n v="1"/>
    <n v="0.53800000000000003"/>
    <n v="6"/>
    <x v="0"/>
  </r>
  <r>
    <x v="312"/>
    <s v="U9847"/>
    <n v="1316.27"/>
    <x v="2"/>
    <x v="2"/>
    <x v="0"/>
    <x v="4"/>
    <n v="1187"/>
    <n v="5"/>
    <n v="3"/>
    <n v="13633.2"/>
    <n v="0"/>
    <n v="0.71199999999999997"/>
    <n v="2"/>
    <x v="0"/>
  </r>
  <r>
    <x v="313"/>
    <s v="U7650"/>
    <n v="48134.29"/>
    <x v="2"/>
    <x v="1"/>
    <x v="0"/>
    <x v="3"/>
    <n v="243"/>
    <n v="21"/>
    <n v="4"/>
    <n v="249.26"/>
    <n v="0"/>
    <n v="0.188"/>
    <n v="3"/>
    <x v="0"/>
  </r>
  <r>
    <x v="314"/>
    <s v="U3066"/>
    <n v="41807.21"/>
    <x v="2"/>
    <x v="0"/>
    <x v="2"/>
    <x v="4"/>
    <n v="661"/>
    <n v="15"/>
    <n v="3"/>
    <n v="10596.89"/>
    <n v="0"/>
    <n v="0.60599999999999998"/>
    <n v="4"/>
    <x v="0"/>
  </r>
  <r>
    <x v="315"/>
    <s v="U6962"/>
    <n v="34813.910000000003"/>
    <x v="1"/>
    <x v="3"/>
    <x v="0"/>
    <x v="0"/>
    <n v="342"/>
    <n v="1"/>
    <n v="1"/>
    <n v="3908.19"/>
    <n v="1"/>
    <n v="0.53900000000000003"/>
    <n v="8"/>
    <x v="0"/>
  </r>
  <r>
    <x v="316"/>
    <s v="U4681"/>
    <n v="20477.2"/>
    <x v="1"/>
    <x v="2"/>
    <x v="1"/>
    <x v="1"/>
    <n v="504"/>
    <n v="13"/>
    <n v="2"/>
    <n v="29644.77"/>
    <n v="0"/>
    <n v="0.60199999999999998"/>
    <n v="1"/>
    <x v="0"/>
  </r>
  <r>
    <x v="317"/>
    <s v="U8014"/>
    <n v="8706.0499999999993"/>
    <x v="1"/>
    <x v="3"/>
    <x v="2"/>
    <x v="0"/>
    <n v="1148"/>
    <n v="23"/>
    <n v="4"/>
    <n v="13858.71"/>
    <n v="0"/>
    <n v="0.72799999999999998"/>
    <n v="9"/>
    <x v="0"/>
  </r>
  <r>
    <x v="318"/>
    <s v="U5063"/>
    <n v="7864.03"/>
    <x v="0"/>
    <x v="1"/>
    <x v="0"/>
    <x v="1"/>
    <n v="378"/>
    <n v="22"/>
    <n v="3"/>
    <n v="12841.19"/>
    <n v="1"/>
    <n v="0.54400000000000004"/>
    <n v="1"/>
    <x v="0"/>
  </r>
  <r>
    <x v="319"/>
    <s v="U7426"/>
    <n v="12549.63"/>
    <x v="2"/>
    <x v="2"/>
    <x v="2"/>
    <x v="3"/>
    <n v="1366"/>
    <n v="17"/>
    <n v="1"/>
    <n v="19360.810000000001"/>
    <n v="0"/>
    <n v="0.32200000000000001"/>
    <n v="3"/>
    <x v="0"/>
  </r>
  <r>
    <x v="320"/>
    <s v="U3963"/>
    <n v="27483.87"/>
    <x v="0"/>
    <x v="1"/>
    <x v="2"/>
    <x v="3"/>
    <n v="1163"/>
    <n v="16"/>
    <n v="2"/>
    <n v="10777.1"/>
    <n v="0"/>
    <n v="0.309"/>
    <n v="3"/>
    <x v="0"/>
  </r>
  <r>
    <x v="321"/>
    <s v="U6034"/>
    <n v="35744.07"/>
    <x v="0"/>
    <x v="2"/>
    <x v="1"/>
    <x v="3"/>
    <n v="1961"/>
    <n v="19"/>
    <n v="1"/>
    <n v="21493.89"/>
    <n v="0"/>
    <n v="0.69499999999999995"/>
    <n v="9"/>
    <x v="0"/>
  </r>
  <r>
    <x v="322"/>
    <s v="U9239"/>
    <n v="33026.86"/>
    <x v="0"/>
    <x v="1"/>
    <x v="2"/>
    <x v="2"/>
    <n v="1211"/>
    <n v="17"/>
    <n v="3"/>
    <n v="27153.33"/>
    <n v="0"/>
    <n v="0.66400000000000003"/>
    <n v="3"/>
    <x v="0"/>
  </r>
  <r>
    <x v="323"/>
    <s v="U6130"/>
    <n v="14032.7"/>
    <x v="2"/>
    <x v="3"/>
    <x v="0"/>
    <x v="2"/>
    <n v="104"/>
    <n v="18"/>
    <n v="3"/>
    <n v="15017.03"/>
    <n v="0"/>
    <n v="0.42199999999999999"/>
    <n v="3"/>
    <x v="0"/>
  </r>
  <r>
    <x v="324"/>
    <s v="U4038"/>
    <n v="47745.52"/>
    <x v="1"/>
    <x v="3"/>
    <x v="2"/>
    <x v="1"/>
    <n v="1350"/>
    <n v="14"/>
    <n v="4"/>
    <n v="11549.4"/>
    <n v="0"/>
    <n v="0.35399999999999998"/>
    <n v="2"/>
    <x v="0"/>
  </r>
  <r>
    <x v="325"/>
    <s v="U5192"/>
    <n v="36907.949999999997"/>
    <x v="2"/>
    <x v="1"/>
    <x v="2"/>
    <x v="4"/>
    <n v="916"/>
    <n v="1"/>
    <n v="2"/>
    <n v="15704.72"/>
    <n v="0"/>
    <n v="0.62"/>
    <n v="4"/>
    <x v="0"/>
  </r>
  <r>
    <x v="326"/>
    <s v="U3207"/>
    <n v="27739.98"/>
    <x v="2"/>
    <x v="2"/>
    <x v="1"/>
    <x v="4"/>
    <n v="1134"/>
    <n v="3"/>
    <n v="0"/>
    <n v="18146.23"/>
    <n v="0"/>
    <n v="0.312"/>
    <n v="8"/>
    <x v="0"/>
  </r>
  <r>
    <x v="327"/>
    <s v="U7857"/>
    <n v="30605.45"/>
    <x v="0"/>
    <x v="3"/>
    <x v="1"/>
    <x v="1"/>
    <n v="1229"/>
    <n v="0"/>
    <n v="1"/>
    <n v="25446.31"/>
    <n v="0"/>
    <n v="0.96299999999999997"/>
    <n v="6"/>
    <x v="0"/>
  </r>
  <r>
    <x v="328"/>
    <s v="U8267"/>
    <n v="21009.02"/>
    <x v="0"/>
    <x v="2"/>
    <x v="0"/>
    <x v="2"/>
    <n v="811"/>
    <n v="7"/>
    <n v="2"/>
    <n v="11894.94"/>
    <n v="0"/>
    <n v="0.59599999999999997"/>
    <n v="1"/>
    <x v="0"/>
  </r>
  <r>
    <x v="329"/>
    <s v="U1086"/>
    <n v="12424.16"/>
    <x v="0"/>
    <x v="2"/>
    <x v="1"/>
    <x v="0"/>
    <n v="217"/>
    <n v="19"/>
    <n v="0"/>
    <n v="1637.8"/>
    <n v="0"/>
    <n v="0.59199999999999997"/>
    <n v="5"/>
    <x v="0"/>
  </r>
  <r>
    <x v="330"/>
    <s v="U7303"/>
    <n v="17830.84"/>
    <x v="1"/>
    <x v="3"/>
    <x v="0"/>
    <x v="1"/>
    <n v="616"/>
    <n v="13"/>
    <n v="2"/>
    <n v="18958.939999999999"/>
    <n v="0"/>
    <n v="0.13600000000000001"/>
    <n v="8"/>
    <x v="0"/>
  </r>
  <r>
    <x v="331"/>
    <s v="U7931"/>
    <n v="37904.410000000003"/>
    <x v="1"/>
    <x v="0"/>
    <x v="0"/>
    <x v="4"/>
    <n v="482"/>
    <n v="10"/>
    <n v="1"/>
    <n v="29607.66"/>
    <n v="0"/>
    <n v="0.61"/>
    <n v="1"/>
    <x v="0"/>
  </r>
  <r>
    <x v="332"/>
    <s v="U8988"/>
    <n v="768.95"/>
    <x v="1"/>
    <x v="0"/>
    <x v="1"/>
    <x v="1"/>
    <n v="1648"/>
    <n v="23"/>
    <n v="1"/>
    <n v="25641.68"/>
    <n v="0"/>
    <n v="0.29499999999999998"/>
    <n v="6"/>
    <x v="0"/>
  </r>
  <r>
    <x v="333"/>
    <s v="U6950"/>
    <n v="5847.83"/>
    <x v="2"/>
    <x v="2"/>
    <x v="2"/>
    <x v="1"/>
    <n v="1041"/>
    <n v="23"/>
    <n v="4"/>
    <n v="22771.85"/>
    <n v="0"/>
    <n v="0.45200000000000001"/>
    <n v="7"/>
    <x v="0"/>
  </r>
  <r>
    <x v="334"/>
    <s v="U4172"/>
    <n v="2347.83"/>
    <x v="0"/>
    <x v="3"/>
    <x v="1"/>
    <x v="3"/>
    <n v="145"/>
    <n v="13"/>
    <n v="3"/>
    <n v="5377.41"/>
    <n v="0"/>
    <n v="0.53800000000000003"/>
    <n v="5"/>
    <x v="0"/>
  </r>
  <r>
    <x v="335"/>
    <s v="U3356"/>
    <n v="2084.4"/>
    <x v="2"/>
    <x v="0"/>
    <x v="2"/>
    <x v="2"/>
    <n v="619"/>
    <n v="15"/>
    <n v="3"/>
    <n v="22483.71"/>
    <n v="1"/>
    <n v="0.47799999999999998"/>
    <n v="4"/>
    <x v="0"/>
  </r>
  <r>
    <x v="336"/>
    <s v="U1489"/>
    <n v="42780.26"/>
    <x v="1"/>
    <x v="1"/>
    <x v="2"/>
    <x v="3"/>
    <n v="920"/>
    <n v="9"/>
    <n v="3"/>
    <n v="2536.15"/>
    <n v="0"/>
    <n v="0.80900000000000005"/>
    <n v="7"/>
    <x v="0"/>
  </r>
  <r>
    <x v="337"/>
    <s v="U7732"/>
    <n v="35197.71"/>
    <x v="0"/>
    <x v="2"/>
    <x v="0"/>
    <x v="2"/>
    <n v="270"/>
    <n v="6"/>
    <n v="4"/>
    <n v="14868.15"/>
    <n v="1"/>
    <n v="9.9000000000000005E-2"/>
    <n v="9"/>
    <x v="0"/>
  </r>
  <r>
    <x v="338"/>
    <s v="U9539"/>
    <n v="23734.98"/>
    <x v="1"/>
    <x v="0"/>
    <x v="0"/>
    <x v="1"/>
    <n v="1180"/>
    <n v="15"/>
    <n v="3"/>
    <n v="11189.9"/>
    <n v="0"/>
    <n v="0.16700000000000001"/>
    <n v="4"/>
    <x v="0"/>
  </r>
  <r>
    <x v="339"/>
    <s v="U5372"/>
    <n v="4936.82"/>
    <x v="0"/>
    <x v="3"/>
    <x v="1"/>
    <x v="2"/>
    <n v="467"/>
    <n v="3"/>
    <n v="2"/>
    <n v="27168.06"/>
    <n v="0"/>
    <n v="0.157"/>
    <n v="3"/>
    <x v="0"/>
  </r>
  <r>
    <x v="340"/>
    <s v="U1767"/>
    <n v="24606.21"/>
    <x v="0"/>
    <x v="3"/>
    <x v="2"/>
    <x v="4"/>
    <n v="1938"/>
    <n v="11"/>
    <n v="3"/>
    <n v="4879.09"/>
    <n v="0"/>
    <n v="0.81699999999999995"/>
    <n v="4"/>
    <x v="1"/>
  </r>
  <r>
    <x v="341"/>
    <s v="U3835"/>
    <n v="23699.91"/>
    <x v="2"/>
    <x v="2"/>
    <x v="1"/>
    <x v="3"/>
    <n v="1730"/>
    <n v="11"/>
    <n v="3"/>
    <n v="23687.66"/>
    <n v="0"/>
    <n v="0.11799999999999999"/>
    <n v="5"/>
    <x v="1"/>
  </r>
  <r>
    <x v="342"/>
    <s v="U4586"/>
    <n v="8701.43"/>
    <x v="2"/>
    <x v="3"/>
    <x v="0"/>
    <x v="1"/>
    <n v="1471"/>
    <n v="1"/>
    <n v="1"/>
    <n v="1550.51"/>
    <n v="0"/>
    <n v="0.97099999999999997"/>
    <n v="9"/>
    <x v="0"/>
  </r>
  <r>
    <x v="343"/>
    <s v="U4259"/>
    <n v="21720.89"/>
    <x v="1"/>
    <x v="1"/>
    <x v="2"/>
    <x v="4"/>
    <n v="1446"/>
    <n v="5"/>
    <n v="4"/>
    <n v="21082.47"/>
    <n v="0"/>
    <n v="0.96899999999999997"/>
    <n v="1"/>
    <x v="0"/>
  </r>
  <r>
    <x v="344"/>
    <s v="U2597"/>
    <n v="19955.310000000001"/>
    <x v="2"/>
    <x v="1"/>
    <x v="1"/>
    <x v="2"/>
    <n v="1533"/>
    <n v="19"/>
    <n v="4"/>
    <n v="8883.9699999999993"/>
    <n v="0"/>
    <n v="0.99199999999999999"/>
    <n v="9"/>
    <x v="0"/>
  </r>
  <r>
    <x v="345"/>
    <s v="U9093"/>
    <n v="30811.71"/>
    <x v="2"/>
    <x v="0"/>
    <x v="1"/>
    <x v="2"/>
    <n v="241"/>
    <n v="14"/>
    <n v="3"/>
    <n v="29279.81"/>
    <n v="0"/>
    <n v="0.98"/>
    <n v="9"/>
    <x v="0"/>
  </r>
  <r>
    <x v="346"/>
    <s v="U7947"/>
    <n v="31772.93"/>
    <x v="2"/>
    <x v="3"/>
    <x v="0"/>
    <x v="4"/>
    <n v="110"/>
    <n v="14"/>
    <n v="0"/>
    <n v="20185.13"/>
    <n v="0"/>
    <n v="0.14899999999999999"/>
    <n v="8"/>
    <x v="0"/>
  </r>
  <r>
    <x v="347"/>
    <s v="U3681"/>
    <n v="2312.94"/>
    <x v="0"/>
    <x v="1"/>
    <x v="0"/>
    <x v="2"/>
    <n v="156"/>
    <n v="21"/>
    <n v="1"/>
    <n v="9336.27"/>
    <n v="0"/>
    <n v="0.65700000000000003"/>
    <n v="8"/>
    <x v="0"/>
  </r>
  <r>
    <x v="348"/>
    <s v="U5836"/>
    <n v="18761.900000000001"/>
    <x v="2"/>
    <x v="2"/>
    <x v="0"/>
    <x v="3"/>
    <n v="726"/>
    <n v="15"/>
    <n v="3"/>
    <n v="7142.08"/>
    <n v="0"/>
    <n v="0.4"/>
    <n v="8"/>
    <x v="1"/>
  </r>
  <r>
    <x v="349"/>
    <s v="U8508"/>
    <n v="31311.7"/>
    <x v="1"/>
    <x v="3"/>
    <x v="0"/>
    <x v="0"/>
    <n v="516"/>
    <n v="23"/>
    <n v="0"/>
    <n v="19215.330000000002"/>
    <n v="0"/>
    <n v="0.73199999999999998"/>
    <n v="4"/>
    <x v="0"/>
  </r>
  <r>
    <x v="350"/>
    <s v="U4018"/>
    <n v="25181.66"/>
    <x v="0"/>
    <x v="0"/>
    <x v="1"/>
    <x v="2"/>
    <n v="567"/>
    <n v="2"/>
    <n v="2"/>
    <n v="8254.64"/>
    <n v="0"/>
    <n v="0.40600000000000003"/>
    <n v="7"/>
    <x v="0"/>
  </r>
  <r>
    <x v="351"/>
    <s v="U6920"/>
    <n v="42831.67"/>
    <x v="0"/>
    <x v="2"/>
    <x v="0"/>
    <x v="1"/>
    <n v="113"/>
    <n v="0"/>
    <n v="1"/>
    <n v="5685.48"/>
    <n v="0"/>
    <n v="0.38300000000000001"/>
    <n v="2"/>
    <x v="0"/>
  </r>
  <r>
    <x v="352"/>
    <s v="U4190"/>
    <n v="32951.75"/>
    <x v="2"/>
    <x v="2"/>
    <x v="0"/>
    <x v="2"/>
    <n v="345"/>
    <n v="20"/>
    <n v="4"/>
    <n v="19465.32"/>
    <n v="0"/>
    <n v="0.90400000000000003"/>
    <n v="3"/>
    <x v="0"/>
  </r>
  <r>
    <x v="353"/>
    <s v="U6860"/>
    <n v="8188.57"/>
    <x v="0"/>
    <x v="2"/>
    <x v="1"/>
    <x v="1"/>
    <n v="455"/>
    <n v="11"/>
    <n v="0"/>
    <n v="21756.18"/>
    <n v="0"/>
    <n v="0.495"/>
    <n v="8"/>
    <x v="0"/>
  </r>
  <r>
    <x v="354"/>
    <s v="U1692"/>
    <n v="3574.91"/>
    <x v="1"/>
    <x v="1"/>
    <x v="1"/>
    <x v="2"/>
    <n v="743"/>
    <n v="14"/>
    <n v="3"/>
    <n v="7217.05"/>
    <n v="0"/>
    <n v="0.74"/>
    <n v="4"/>
    <x v="0"/>
  </r>
  <r>
    <x v="355"/>
    <s v="U3132"/>
    <n v="32138.84"/>
    <x v="1"/>
    <x v="2"/>
    <x v="2"/>
    <x v="2"/>
    <n v="453"/>
    <n v="18"/>
    <n v="0"/>
    <n v="16122.59"/>
    <n v="0"/>
    <n v="0.65"/>
    <n v="6"/>
    <x v="0"/>
  </r>
  <r>
    <x v="356"/>
    <s v="U4138"/>
    <n v="1374.24"/>
    <x v="0"/>
    <x v="1"/>
    <x v="1"/>
    <x v="1"/>
    <n v="127"/>
    <n v="5"/>
    <n v="4"/>
    <n v="19942.52"/>
    <n v="1"/>
    <n v="0.65800000000000003"/>
    <n v="8"/>
    <x v="0"/>
  </r>
  <r>
    <x v="357"/>
    <s v="U4275"/>
    <n v="29309.49"/>
    <x v="2"/>
    <x v="2"/>
    <x v="2"/>
    <x v="3"/>
    <n v="1550"/>
    <n v="18"/>
    <n v="2"/>
    <n v="28263.31"/>
    <n v="0"/>
    <n v="0.34899999999999998"/>
    <n v="8"/>
    <x v="0"/>
  </r>
  <r>
    <x v="358"/>
    <s v="U5622"/>
    <n v="47014.5"/>
    <x v="2"/>
    <x v="1"/>
    <x v="0"/>
    <x v="0"/>
    <n v="938"/>
    <n v="16"/>
    <n v="0"/>
    <n v="24122.66"/>
    <n v="0"/>
    <n v="0.252"/>
    <n v="5"/>
    <x v="0"/>
  </r>
  <r>
    <x v="359"/>
    <s v="U4950"/>
    <n v="28794.94"/>
    <x v="0"/>
    <x v="3"/>
    <x v="2"/>
    <x v="0"/>
    <n v="732"/>
    <n v="8"/>
    <n v="3"/>
    <n v="12682.36"/>
    <n v="0"/>
    <n v="0.88500000000000001"/>
    <n v="7"/>
    <x v="1"/>
  </r>
  <r>
    <x v="360"/>
    <s v="U2994"/>
    <n v="19439.09"/>
    <x v="1"/>
    <x v="1"/>
    <x v="2"/>
    <x v="3"/>
    <n v="576"/>
    <n v="20"/>
    <n v="0"/>
    <n v="25347.78"/>
    <n v="0"/>
    <n v="2.5000000000000001E-2"/>
    <n v="1"/>
    <x v="0"/>
  </r>
  <r>
    <x v="361"/>
    <s v="U1587"/>
    <n v="32182.25"/>
    <x v="0"/>
    <x v="1"/>
    <x v="0"/>
    <x v="2"/>
    <n v="1564"/>
    <n v="12"/>
    <n v="2"/>
    <n v="13306.65"/>
    <n v="0"/>
    <n v="0.17299999999999999"/>
    <n v="5"/>
    <x v="0"/>
  </r>
  <r>
    <x v="362"/>
    <s v="U6415"/>
    <n v="22939.73"/>
    <x v="2"/>
    <x v="3"/>
    <x v="0"/>
    <x v="0"/>
    <n v="1946"/>
    <n v="14"/>
    <n v="0"/>
    <n v="3990.79"/>
    <n v="0"/>
    <n v="0.13300000000000001"/>
    <n v="3"/>
    <x v="0"/>
  </r>
  <r>
    <x v="363"/>
    <s v="U5633"/>
    <n v="27303.56"/>
    <x v="2"/>
    <x v="2"/>
    <x v="0"/>
    <x v="3"/>
    <n v="97"/>
    <n v="15"/>
    <n v="2"/>
    <n v="10298.9"/>
    <n v="0"/>
    <n v="0.94899999999999995"/>
    <n v="4"/>
    <x v="0"/>
  </r>
  <r>
    <x v="364"/>
    <s v="U5406"/>
    <n v="47076.17"/>
    <x v="0"/>
    <x v="3"/>
    <x v="2"/>
    <x v="3"/>
    <n v="1792"/>
    <n v="12"/>
    <n v="2"/>
    <n v="24161.25"/>
    <n v="0"/>
    <n v="5.0000000000000001E-3"/>
    <n v="1"/>
    <x v="0"/>
  </r>
  <r>
    <x v="365"/>
    <s v="U2835"/>
    <n v="19335.830000000002"/>
    <x v="1"/>
    <x v="2"/>
    <x v="1"/>
    <x v="0"/>
    <n v="1662"/>
    <n v="1"/>
    <n v="1"/>
    <n v="28678.560000000001"/>
    <n v="0"/>
    <n v="8.0000000000000002E-3"/>
    <n v="1"/>
    <x v="0"/>
  </r>
  <r>
    <x v="366"/>
    <s v="U6618"/>
    <n v="48061.47"/>
    <x v="0"/>
    <x v="1"/>
    <x v="1"/>
    <x v="1"/>
    <n v="485"/>
    <n v="1"/>
    <n v="1"/>
    <n v="29509.15"/>
    <n v="1"/>
    <n v="0.22700000000000001"/>
    <n v="3"/>
    <x v="0"/>
  </r>
  <r>
    <x v="367"/>
    <s v="U7399"/>
    <n v="45272.26"/>
    <x v="1"/>
    <x v="2"/>
    <x v="1"/>
    <x v="4"/>
    <n v="1715"/>
    <n v="10"/>
    <n v="3"/>
    <n v="19208.939999999999"/>
    <n v="1"/>
    <n v="0.27900000000000003"/>
    <n v="4"/>
    <x v="0"/>
  </r>
  <r>
    <x v="368"/>
    <s v="U1154"/>
    <n v="9829.77"/>
    <x v="1"/>
    <x v="1"/>
    <x v="0"/>
    <x v="1"/>
    <n v="1518"/>
    <n v="15"/>
    <n v="3"/>
    <n v="14402.42"/>
    <n v="0"/>
    <n v="0.56000000000000005"/>
    <n v="3"/>
    <x v="0"/>
  </r>
  <r>
    <x v="369"/>
    <s v="U8287"/>
    <n v="3514.6"/>
    <x v="0"/>
    <x v="2"/>
    <x v="0"/>
    <x v="2"/>
    <n v="1695"/>
    <n v="16"/>
    <n v="3"/>
    <n v="4945.51"/>
    <n v="0"/>
    <n v="0.96099999999999997"/>
    <n v="2"/>
    <x v="1"/>
  </r>
  <r>
    <x v="370"/>
    <s v="U6505"/>
    <n v="5083.8599999999997"/>
    <x v="0"/>
    <x v="1"/>
    <x v="1"/>
    <x v="1"/>
    <n v="304"/>
    <n v="2"/>
    <n v="2"/>
    <n v="3165.48"/>
    <n v="0"/>
    <n v="0.46500000000000002"/>
    <n v="7"/>
    <x v="0"/>
  </r>
  <r>
    <x v="371"/>
    <s v="U8105"/>
    <n v="960.18"/>
    <x v="1"/>
    <x v="1"/>
    <x v="0"/>
    <x v="4"/>
    <n v="729"/>
    <n v="22"/>
    <n v="2"/>
    <n v="15603.22"/>
    <n v="0"/>
    <n v="0.28899999999999998"/>
    <n v="9"/>
    <x v="0"/>
  </r>
  <r>
    <x v="372"/>
    <s v="U4498"/>
    <n v="4767.43"/>
    <x v="1"/>
    <x v="0"/>
    <x v="2"/>
    <x v="4"/>
    <n v="1414"/>
    <n v="0"/>
    <n v="1"/>
    <n v="21860.59"/>
    <n v="0"/>
    <n v="0.81699999999999995"/>
    <n v="3"/>
    <x v="0"/>
  </r>
  <r>
    <x v="373"/>
    <s v="U5453"/>
    <n v="34166.19"/>
    <x v="1"/>
    <x v="2"/>
    <x v="2"/>
    <x v="3"/>
    <n v="1004"/>
    <n v="17"/>
    <n v="2"/>
    <n v="9785.27"/>
    <n v="0"/>
    <n v="0.38600000000000001"/>
    <n v="9"/>
    <x v="0"/>
  </r>
  <r>
    <x v="374"/>
    <s v="U1446"/>
    <n v="3605.87"/>
    <x v="1"/>
    <x v="2"/>
    <x v="0"/>
    <x v="2"/>
    <n v="1316"/>
    <n v="13"/>
    <n v="1"/>
    <n v="20272.830000000002"/>
    <n v="0"/>
    <n v="0.14199999999999999"/>
    <n v="8"/>
    <x v="0"/>
  </r>
  <r>
    <x v="375"/>
    <s v="U5209"/>
    <n v="15982.83"/>
    <x v="2"/>
    <x v="0"/>
    <x v="1"/>
    <x v="3"/>
    <n v="853"/>
    <n v="21"/>
    <n v="0"/>
    <n v="17167.23"/>
    <n v="0"/>
    <n v="0.79500000000000004"/>
    <n v="5"/>
    <x v="0"/>
  </r>
  <r>
    <x v="376"/>
    <s v="U7353"/>
    <n v="42251.519999999997"/>
    <x v="0"/>
    <x v="1"/>
    <x v="1"/>
    <x v="1"/>
    <n v="695"/>
    <n v="8"/>
    <n v="3"/>
    <n v="28228.39"/>
    <n v="0"/>
    <n v="2E-3"/>
    <n v="6"/>
    <x v="0"/>
  </r>
  <r>
    <x v="377"/>
    <s v="U1466"/>
    <n v="1212.43"/>
    <x v="1"/>
    <x v="1"/>
    <x v="2"/>
    <x v="1"/>
    <n v="648"/>
    <n v="8"/>
    <n v="3"/>
    <n v="6365.75"/>
    <n v="0"/>
    <n v="0.20499999999999999"/>
    <n v="1"/>
    <x v="0"/>
  </r>
  <r>
    <x v="378"/>
    <s v="U4984"/>
    <n v="40732.699999999997"/>
    <x v="0"/>
    <x v="0"/>
    <x v="0"/>
    <x v="0"/>
    <n v="1189"/>
    <n v="11"/>
    <n v="4"/>
    <n v="17772.650000000001"/>
    <n v="0"/>
    <n v="0.63500000000000001"/>
    <n v="6"/>
    <x v="1"/>
  </r>
  <r>
    <x v="379"/>
    <s v="U2096"/>
    <n v="14128.65"/>
    <x v="1"/>
    <x v="0"/>
    <x v="1"/>
    <x v="3"/>
    <n v="1213"/>
    <n v="23"/>
    <n v="1"/>
    <n v="12472.53"/>
    <n v="0"/>
    <n v="0.10199999999999999"/>
    <n v="9"/>
    <x v="0"/>
  </r>
  <r>
    <x v="380"/>
    <s v="U6980"/>
    <n v="5952.33"/>
    <x v="0"/>
    <x v="3"/>
    <x v="1"/>
    <x v="3"/>
    <n v="970"/>
    <n v="2"/>
    <n v="4"/>
    <n v="7921.11"/>
    <n v="0"/>
    <n v="0.25600000000000001"/>
    <n v="7"/>
    <x v="0"/>
  </r>
  <r>
    <x v="381"/>
    <s v="U5379"/>
    <n v="34852.019999999997"/>
    <x v="0"/>
    <x v="1"/>
    <x v="0"/>
    <x v="3"/>
    <n v="944"/>
    <n v="1"/>
    <n v="3"/>
    <n v="10783.04"/>
    <n v="0"/>
    <n v="0.39300000000000002"/>
    <n v="9"/>
    <x v="0"/>
  </r>
  <r>
    <x v="382"/>
    <s v="U6878"/>
    <n v="31465.7"/>
    <x v="1"/>
    <x v="3"/>
    <x v="0"/>
    <x v="3"/>
    <n v="899"/>
    <n v="0"/>
    <n v="4"/>
    <n v="8906.6"/>
    <n v="0"/>
    <n v="0.39600000000000002"/>
    <n v="5"/>
    <x v="0"/>
  </r>
  <r>
    <x v="383"/>
    <s v="U4334"/>
    <n v="43879.73"/>
    <x v="1"/>
    <x v="2"/>
    <x v="1"/>
    <x v="4"/>
    <n v="923"/>
    <n v="8"/>
    <n v="0"/>
    <n v="15876.69"/>
    <n v="0"/>
    <n v="0.97299999999999998"/>
    <n v="5"/>
    <x v="0"/>
  </r>
  <r>
    <x v="384"/>
    <s v="U3821"/>
    <n v="36766.800000000003"/>
    <x v="0"/>
    <x v="3"/>
    <x v="0"/>
    <x v="0"/>
    <n v="1120"/>
    <n v="12"/>
    <n v="4"/>
    <n v="16785.82"/>
    <n v="0"/>
    <n v="0.67600000000000005"/>
    <n v="5"/>
    <x v="1"/>
  </r>
  <r>
    <x v="385"/>
    <s v="U2195"/>
    <n v="40183.870000000003"/>
    <x v="0"/>
    <x v="0"/>
    <x v="0"/>
    <x v="2"/>
    <n v="415"/>
    <n v="20"/>
    <n v="0"/>
    <n v="25979.65"/>
    <n v="0"/>
    <n v="3.6999999999999998E-2"/>
    <n v="6"/>
    <x v="0"/>
  </r>
  <r>
    <x v="386"/>
    <s v="U4715"/>
    <n v="14137.63"/>
    <x v="0"/>
    <x v="0"/>
    <x v="0"/>
    <x v="2"/>
    <n v="1869"/>
    <n v="15"/>
    <n v="3"/>
    <n v="23461.040000000001"/>
    <n v="0"/>
    <n v="0.221"/>
    <n v="4"/>
    <x v="0"/>
  </r>
  <r>
    <x v="387"/>
    <s v="U6071"/>
    <n v="8913.11"/>
    <x v="2"/>
    <x v="0"/>
    <x v="1"/>
    <x v="2"/>
    <n v="1529"/>
    <n v="18"/>
    <n v="2"/>
    <n v="9145.2099999999991"/>
    <n v="0"/>
    <n v="0.61599999999999999"/>
    <n v="9"/>
    <x v="0"/>
  </r>
  <r>
    <x v="388"/>
    <s v="U2776"/>
    <n v="37543.21"/>
    <x v="1"/>
    <x v="0"/>
    <x v="2"/>
    <x v="4"/>
    <n v="1300"/>
    <n v="9"/>
    <n v="1"/>
    <n v="27946.63"/>
    <n v="0"/>
    <n v="0.71299999999999997"/>
    <n v="7"/>
    <x v="0"/>
  </r>
  <r>
    <x v="389"/>
    <s v="U4547"/>
    <n v="40351.4"/>
    <x v="2"/>
    <x v="3"/>
    <x v="0"/>
    <x v="0"/>
    <n v="1627"/>
    <n v="4"/>
    <n v="4"/>
    <n v="26063.75"/>
    <n v="0"/>
    <n v="0.38100000000000001"/>
    <n v="3"/>
    <x v="0"/>
  </r>
  <r>
    <x v="390"/>
    <s v="U2373"/>
    <n v="49525.73"/>
    <x v="2"/>
    <x v="3"/>
    <x v="1"/>
    <x v="0"/>
    <n v="1097"/>
    <n v="13"/>
    <n v="0"/>
    <n v="18813.3"/>
    <n v="0"/>
    <n v="0.85699999999999998"/>
    <n v="7"/>
    <x v="0"/>
  </r>
  <r>
    <x v="391"/>
    <s v="U5788"/>
    <n v="20660.25"/>
    <x v="1"/>
    <x v="3"/>
    <x v="2"/>
    <x v="4"/>
    <n v="128"/>
    <n v="14"/>
    <n v="3"/>
    <n v="656.99"/>
    <n v="0"/>
    <n v="0.94299999999999995"/>
    <n v="3"/>
    <x v="0"/>
  </r>
  <r>
    <x v="392"/>
    <s v="U3370"/>
    <n v="18632.3"/>
    <x v="1"/>
    <x v="0"/>
    <x v="1"/>
    <x v="3"/>
    <n v="350"/>
    <n v="2"/>
    <n v="3"/>
    <n v="6353.18"/>
    <n v="0"/>
    <n v="0.61399999999999999"/>
    <n v="3"/>
    <x v="0"/>
  </r>
  <r>
    <x v="393"/>
    <s v="U6248"/>
    <n v="38831.83"/>
    <x v="2"/>
    <x v="0"/>
    <x v="1"/>
    <x v="1"/>
    <n v="322"/>
    <n v="8"/>
    <n v="2"/>
    <n v="23700.65"/>
    <n v="0"/>
    <n v="0.56200000000000006"/>
    <n v="4"/>
    <x v="0"/>
  </r>
  <r>
    <x v="394"/>
    <s v="U3513"/>
    <n v="17073.14"/>
    <x v="1"/>
    <x v="1"/>
    <x v="1"/>
    <x v="3"/>
    <n v="172"/>
    <n v="0"/>
    <n v="3"/>
    <n v="13667.45"/>
    <n v="0"/>
    <n v="0.751"/>
    <n v="2"/>
    <x v="0"/>
  </r>
  <r>
    <x v="395"/>
    <s v="U6335"/>
    <n v="46541.33"/>
    <x v="0"/>
    <x v="1"/>
    <x v="2"/>
    <x v="2"/>
    <n v="1538"/>
    <n v="0"/>
    <n v="3"/>
    <n v="3865.92"/>
    <n v="0"/>
    <n v="0.78200000000000003"/>
    <n v="8"/>
    <x v="0"/>
  </r>
  <r>
    <x v="396"/>
    <s v="U2505"/>
    <n v="42927.72"/>
    <x v="0"/>
    <x v="0"/>
    <x v="1"/>
    <x v="3"/>
    <n v="302"/>
    <n v="18"/>
    <n v="2"/>
    <n v="12306.96"/>
    <n v="0"/>
    <n v="0.215"/>
    <n v="1"/>
    <x v="0"/>
  </r>
  <r>
    <x v="397"/>
    <s v="U8888"/>
    <n v="21478.25"/>
    <x v="2"/>
    <x v="1"/>
    <x v="2"/>
    <x v="4"/>
    <n v="699"/>
    <n v="5"/>
    <n v="3"/>
    <n v="6435.9"/>
    <n v="0"/>
    <n v="0.48399999999999999"/>
    <n v="1"/>
    <x v="0"/>
  </r>
  <r>
    <x v="398"/>
    <s v="U3797"/>
    <n v="37556.01"/>
    <x v="2"/>
    <x v="2"/>
    <x v="0"/>
    <x v="2"/>
    <n v="1410"/>
    <n v="10"/>
    <n v="0"/>
    <n v="26787.77"/>
    <n v="0"/>
    <n v="0.44700000000000001"/>
    <n v="1"/>
    <x v="0"/>
  </r>
  <r>
    <x v="399"/>
    <s v="U6641"/>
    <n v="37739.42"/>
    <x v="1"/>
    <x v="2"/>
    <x v="2"/>
    <x v="1"/>
    <n v="1575"/>
    <n v="17"/>
    <n v="4"/>
    <n v="26688.83"/>
    <n v="0"/>
    <n v="0.94099999999999995"/>
    <n v="4"/>
    <x v="1"/>
  </r>
  <r>
    <x v="400"/>
    <s v="U2912"/>
    <n v="5201.04"/>
    <x v="1"/>
    <x v="0"/>
    <x v="1"/>
    <x v="2"/>
    <n v="1434"/>
    <n v="13"/>
    <n v="4"/>
    <n v="11673.16"/>
    <n v="0"/>
    <n v="0.112"/>
    <n v="1"/>
    <x v="0"/>
  </r>
  <r>
    <x v="401"/>
    <s v="U3030"/>
    <n v="45132.52"/>
    <x v="2"/>
    <x v="3"/>
    <x v="2"/>
    <x v="3"/>
    <n v="682"/>
    <n v="15"/>
    <n v="0"/>
    <n v="4208.07"/>
    <n v="0"/>
    <n v="0.94299999999999995"/>
    <n v="3"/>
    <x v="0"/>
  </r>
  <r>
    <x v="402"/>
    <s v="U2631"/>
    <n v="25287.360000000001"/>
    <x v="2"/>
    <x v="2"/>
    <x v="1"/>
    <x v="0"/>
    <n v="1433"/>
    <n v="0"/>
    <n v="4"/>
    <n v="10829.05"/>
    <n v="0"/>
    <n v="0.57299999999999995"/>
    <n v="7"/>
    <x v="0"/>
  </r>
  <r>
    <x v="403"/>
    <s v="U9534"/>
    <n v="41331.550000000003"/>
    <x v="0"/>
    <x v="2"/>
    <x v="0"/>
    <x v="0"/>
    <n v="408"/>
    <n v="23"/>
    <n v="3"/>
    <n v="3949.32"/>
    <n v="0"/>
    <n v="0.28799999999999998"/>
    <n v="3"/>
    <x v="0"/>
  </r>
  <r>
    <x v="404"/>
    <s v="U4732"/>
    <n v="16036.48"/>
    <x v="0"/>
    <x v="3"/>
    <x v="2"/>
    <x v="0"/>
    <n v="918"/>
    <n v="9"/>
    <n v="4"/>
    <n v="9190.98"/>
    <n v="1"/>
    <n v="0.86899999999999999"/>
    <n v="2"/>
    <x v="0"/>
  </r>
  <r>
    <x v="405"/>
    <s v="U7389"/>
    <n v="44781.39"/>
    <x v="1"/>
    <x v="1"/>
    <x v="0"/>
    <x v="2"/>
    <n v="496"/>
    <n v="9"/>
    <n v="4"/>
    <n v="23158.33"/>
    <n v="0"/>
    <n v="0.05"/>
    <n v="6"/>
    <x v="0"/>
  </r>
  <r>
    <x v="406"/>
    <s v="U9418"/>
    <n v="19490.62"/>
    <x v="0"/>
    <x v="3"/>
    <x v="2"/>
    <x v="0"/>
    <n v="1548"/>
    <n v="12"/>
    <n v="3"/>
    <n v="8829.2000000000007"/>
    <n v="0"/>
    <n v="0.31900000000000001"/>
    <n v="8"/>
    <x v="1"/>
  </r>
  <r>
    <x v="407"/>
    <s v="U2132"/>
    <n v="591.34"/>
    <x v="1"/>
    <x v="1"/>
    <x v="1"/>
    <x v="4"/>
    <n v="1057"/>
    <n v="0"/>
    <n v="4"/>
    <n v="16371.64"/>
    <n v="0"/>
    <n v="0.753"/>
    <n v="4"/>
    <x v="0"/>
  </r>
  <r>
    <x v="408"/>
    <s v="U1043"/>
    <n v="45273.83"/>
    <x v="1"/>
    <x v="1"/>
    <x v="2"/>
    <x v="1"/>
    <n v="1952"/>
    <n v="2"/>
    <n v="3"/>
    <n v="3654.31"/>
    <n v="0"/>
    <n v="0.82799999999999996"/>
    <n v="4"/>
    <x v="0"/>
  </r>
  <r>
    <x v="409"/>
    <s v="U9670"/>
    <n v="4609.7700000000004"/>
    <x v="1"/>
    <x v="3"/>
    <x v="0"/>
    <x v="0"/>
    <n v="1092"/>
    <n v="13"/>
    <n v="2"/>
    <n v="10494"/>
    <n v="0"/>
    <n v="0.16700000000000001"/>
    <n v="2"/>
    <x v="1"/>
  </r>
  <r>
    <x v="410"/>
    <s v="U3415"/>
    <n v="15999.72"/>
    <x v="0"/>
    <x v="1"/>
    <x v="2"/>
    <x v="4"/>
    <n v="758"/>
    <n v="20"/>
    <n v="2"/>
    <n v="1285.17"/>
    <n v="1"/>
    <n v="0.94199999999999995"/>
    <n v="5"/>
    <x v="0"/>
  </r>
  <r>
    <x v="411"/>
    <s v="U4575"/>
    <n v="47505.599999999999"/>
    <x v="2"/>
    <x v="2"/>
    <x v="0"/>
    <x v="4"/>
    <n v="249"/>
    <n v="15"/>
    <n v="4"/>
    <n v="16490.23"/>
    <n v="0"/>
    <n v="5.3999999999999999E-2"/>
    <n v="8"/>
    <x v="0"/>
  </r>
  <r>
    <x v="412"/>
    <s v="U8835"/>
    <n v="47532.83"/>
    <x v="2"/>
    <x v="0"/>
    <x v="0"/>
    <x v="2"/>
    <n v="320"/>
    <n v="22"/>
    <n v="2"/>
    <n v="10493.93"/>
    <n v="0"/>
    <n v="0.434"/>
    <n v="1"/>
    <x v="0"/>
  </r>
  <r>
    <x v="413"/>
    <s v="U3389"/>
    <n v="28693.22"/>
    <x v="0"/>
    <x v="1"/>
    <x v="1"/>
    <x v="2"/>
    <n v="330"/>
    <n v="19"/>
    <n v="4"/>
    <n v="26172.92"/>
    <n v="1"/>
    <n v="9.7000000000000003E-2"/>
    <n v="2"/>
    <x v="0"/>
  </r>
  <r>
    <x v="414"/>
    <s v="U5844"/>
    <n v="31610.27"/>
    <x v="2"/>
    <x v="2"/>
    <x v="2"/>
    <x v="1"/>
    <n v="681"/>
    <n v="5"/>
    <n v="2"/>
    <n v="11837.32"/>
    <n v="0"/>
    <n v="9.8000000000000004E-2"/>
    <n v="1"/>
    <x v="0"/>
  </r>
  <r>
    <x v="415"/>
    <s v="U4351"/>
    <n v="22449.85"/>
    <x v="1"/>
    <x v="3"/>
    <x v="0"/>
    <x v="1"/>
    <n v="1514"/>
    <n v="0"/>
    <n v="4"/>
    <n v="16777.48"/>
    <n v="0"/>
    <n v="0.91400000000000003"/>
    <n v="4"/>
    <x v="1"/>
  </r>
  <r>
    <x v="416"/>
    <s v="U2105"/>
    <n v="14695.88"/>
    <x v="2"/>
    <x v="1"/>
    <x v="1"/>
    <x v="3"/>
    <n v="581"/>
    <n v="19"/>
    <n v="1"/>
    <n v="29301.66"/>
    <n v="0"/>
    <n v="0.90400000000000003"/>
    <n v="7"/>
    <x v="0"/>
  </r>
  <r>
    <x v="417"/>
    <s v="U6590"/>
    <n v="16466.79"/>
    <x v="0"/>
    <x v="2"/>
    <x v="1"/>
    <x v="1"/>
    <n v="1785"/>
    <n v="23"/>
    <n v="0"/>
    <n v="19316.91"/>
    <n v="0"/>
    <n v="0.61499999999999999"/>
    <n v="3"/>
    <x v="0"/>
  </r>
  <r>
    <x v="418"/>
    <s v="U2012"/>
    <n v="33642.300000000003"/>
    <x v="2"/>
    <x v="1"/>
    <x v="1"/>
    <x v="2"/>
    <n v="423"/>
    <n v="4"/>
    <n v="2"/>
    <n v="15064.11"/>
    <n v="0"/>
    <n v="0.96599999999999997"/>
    <n v="8"/>
    <x v="0"/>
  </r>
  <r>
    <x v="419"/>
    <s v="U4422"/>
    <n v="37631.11"/>
    <x v="1"/>
    <x v="3"/>
    <x v="0"/>
    <x v="4"/>
    <n v="1355"/>
    <n v="7"/>
    <n v="3"/>
    <n v="3033.93"/>
    <n v="0"/>
    <n v="0.49099999999999999"/>
    <n v="6"/>
    <x v="0"/>
  </r>
  <r>
    <x v="420"/>
    <s v="U9305"/>
    <n v="39589.370000000003"/>
    <x v="1"/>
    <x v="0"/>
    <x v="2"/>
    <x v="3"/>
    <n v="411"/>
    <n v="11"/>
    <n v="0"/>
    <n v="24646.83"/>
    <n v="0"/>
    <n v="0.78300000000000003"/>
    <n v="2"/>
    <x v="0"/>
  </r>
  <r>
    <x v="421"/>
    <s v="U4607"/>
    <n v="39491.43"/>
    <x v="0"/>
    <x v="1"/>
    <x v="0"/>
    <x v="1"/>
    <n v="68"/>
    <n v="0"/>
    <n v="4"/>
    <n v="19307.259999999998"/>
    <n v="0"/>
    <n v="9.7000000000000003E-2"/>
    <n v="9"/>
    <x v="0"/>
  </r>
  <r>
    <x v="422"/>
    <s v="U6835"/>
    <n v="4605.74"/>
    <x v="0"/>
    <x v="0"/>
    <x v="1"/>
    <x v="4"/>
    <n v="62"/>
    <n v="12"/>
    <n v="0"/>
    <n v="3344.88"/>
    <n v="0"/>
    <n v="0.39600000000000002"/>
    <n v="9"/>
    <x v="0"/>
  </r>
  <r>
    <x v="423"/>
    <s v="U8852"/>
    <n v="24746.29"/>
    <x v="0"/>
    <x v="1"/>
    <x v="0"/>
    <x v="2"/>
    <n v="1097"/>
    <n v="8"/>
    <n v="3"/>
    <n v="7445.51"/>
    <n v="0"/>
    <n v="0.51500000000000001"/>
    <n v="7"/>
    <x v="0"/>
  </r>
  <r>
    <x v="424"/>
    <s v="U2276"/>
    <n v="2925.06"/>
    <x v="1"/>
    <x v="1"/>
    <x v="0"/>
    <x v="0"/>
    <n v="642"/>
    <n v="19"/>
    <n v="3"/>
    <n v="16175.66"/>
    <n v="0"/>
    <n v="0.77800000000000002"/>
    <n v="8"/>
    <x v="0"/>
  </r>
  <r>
    <x v="425"/>
    <s v="U5733"/>
    <n v="27498.97"/>
    <x v="2"/>
    <x v="3"/>
    <x v="1"/>
    <x v="3"/>
    <n v="1152"/>
    <n v="23"/>
    <n v="4"/>
    <n v="1447.37"/>
    <n v="0"/>
    <n v="0.33400000000000002"/>
    <n v="1"/>
    <x v="1"/>
  </r>
  <r>
    <x v="426"/>
    <s v="U5623"/>
    <n v="22104.45"/>
    <x v="2"/>
    <x v="1"/>
    <x v="2"/>
    <x v="4"/>
    <n v="295"/>
    <n v="7"/>
    <n v="2"/>
    <n v="21577.47"/>
    <n v="0"/>
    <n v="0.98"/>
    <n v="6"/>
    <x v="0"/>
  </r>
  <r>
    <x v="427"/>
    <s v="U4587"/>
    <n v="44390.82"/>
    <x v="0"/>
    <x v="2"/>
    <x v="1"/>
    <x v="2"/>
    <n v="27"/>
    <n v="12"/>
    <n v="2"/>
    <n v="6911.04"/>
    <n v="0"/>
    <n v="0.73499999999999999"/>
    <n v="9"/>
    <x v="0"/>
  </r>
  <r>
    <x v="428"/>
    <s v="U1553"/>
    <n v="17578.2"/>
    <x v="2"/>
    <x v="2"/>
    <x v="1"/>
    <x v="2"/>
    <n v="1038"/>
    <n v="1"/>
    <n v="1"/>
    <n v="14742.35"/>
    <n v="0"/>
    <n v="0.53300000000000003"/>
    <n v="6"/>
    <x v="1"/>
  </r>
  <r>
    <x v="429"/>
    <s v="U6457"/>
    <n v="5897.5"/>
    <x v="2"/>
    <x v="0"/>
    <x v="0"/>
    <x v="3"/>
    <n v="1870"/>
    <n v="14"/>
    <n v="3"/>
    <n v="7325.14"/>
    <n v="1"/>
    <n v="0.33100000000000002"/>
    <n v="3"/>
    <x v="0"/>
  </r>
  <r>
    <x v="430"/>
    <s v="U4350"/>
    <n v="7192.43"/>
    <x v="0"/>
    <x v="0"/>
    <x v="1"/>
    <x v="3"/>
    <n v="1425"/>
    <n v="13"/>
    <n v="1"/>
    <n v="14726.69"/>
    <n v="0"/>
    <n v="0.64200000000000002"/>
    <n v="2"/>
    <x v="0"/>
  </r>
  <r>
    <x v="431"/>
    <s v="U3282"/>
    <n v="38087.46"/>
    <x v="0"/>
    <x v="2"/>
    <x v="0"/>
    <x v="1"/>
    <n v="1938"/>
    <n v="18"/>
    <n v="3"/>
    <n v="5771.4"/>
    <n v="0"/>
    <n v="0.67300000000000004"/>
    <n v="8"/>
    <x v="0"/>
  </r>
  <r>
    <x v="432"/>
    <s v="U4296"/>
    <n v="30929.99"/>
    <x v="1"/>
    <x v="0"/>
    <x v="1"/>
    <x v="1"/>
    <n v="169"/>
    <n v="8"/>
    <n v="1"/>
    <n v="17858.23"/>
    <n v="0"/>
    <n v="0.67900000000000005"/>
    <n v="4"/>
    <x v="0"/>
  </r>
  <r>
    <x v="433"/>
    <s v="U1390"/>
    <n v="5101.08"/>
    <x v="1"/>
    <x v="0"/>
    <x v="1"/>
    <x v="3"/>
    <n v="1921"/>
    <n v="18"/>
    <n v="2"/>
    <n v="27321.16"/>
    <n v="1"/>
    <n v="0.58599999999999997"/>
    <n v="1"/>
    <x v="0"/>
  </r>
  <r>
    <x v="434"/>
    <s v="U1218"/>
    <n v="4251.13"/>
    <x v="1"/>
    <x v="2"/>
    <x v="2"/>
    <x v="3"/>
    <n v="151"/>
    <n v="13"/>
    <n v="3"/>
    <n v="24239.34"/>
    <n v="0"/>
    <n v="0.4"/>
    <n v="8"/>
    <x v="0"/>
  </r>
  <r>
    <x v="435"/>
    <s v="U1924"/>
    <n v="35063.410000000003"/>
    <x v="1"/>
    <x v="2"/>
    <x v="1"/>
    <x v="4"/>
    <n v="406"/>
    <n v="7"/>
    <n v="2"/>
    <n v="7321.47"/>
    <n v="0"/>
    <n v="0.81699999999999995"/>
    <n v="1"/>
    <x v="0"/>
  </r>
  <r>
    <x v="436"/>
    <s v="U5431"/>
    <n v="3684.51"/>
    <x v="2"/>
    <x v="2"/>
    <x v="2"/>
    <x v="1"/>
    <n v="1051"/>
    <n v="4"/>
    <n v="0"/>
    <n v="14993.47"/>
    <n v="0"/>
    <n v="0.25800000000000001"/>
    <n v="2"/>
    <x v="0"/>
  </r>
  <r>
    <x v="437"/>
    <s v="U1724"/>
    <n v="41101.910000000003"/>
    <x v="2"/>
    <x v="3"/>
    <x v="1"/>
    <x v="2"/>
    <n v="589"/>
    <n v="6"/>
    <n v="2"/>
    <n v="12750.94"/>
    <n v="0"/>
    <n v="0.625"/>
    <n v="1"/>
    <x v="0"/>
  </r>
  <r>
    <x v="438"/>
    <s v="U2091"/>
    <n v="35326.800000000003"/>
    <x v="1"/>
    <x v="3"/>
    <x v="1"/>
    <x v="1"/>
    <n v="1147"/>
    <n v="3"/>
    <n v="3"/>
    <n v="28967.71"/>
    <n v="0"/>
    <n v="0.47199999999999998"/>
    <n v="8"/>
    <x v="0"/>
  </r>
  <r>
    <x v="439"/>
    <s v="U9400"/>
    <n v="4113.37"/>
    <x v="1"/>
    <x v="2"/>
    <x v="1"/>
    <x v="1"/>
    <n v="543"/>
    <n v="7"/>
    <n v="0"/>
    <n v="23984.75"/>
    <n v="0"/>
    <n v="0.89300000000000002"/>
    <n v="3"/>
    <x v="0"/>
  </r>
  <r>
    <x v="440"/>
    <s v="U9211"/>
    <n v="4287.6400000000003"/>
    <x v="0"/>
    <x v="1"/>
    <x v="2"/>
    <x v="3"/>
    <n v="1565"/>
    <n v="3"/>
    <n v="1"/>
    <n v="3312.12"/>
    <n v="0"/>
    <n v="0.59099999999999997"/>
    <n v="9"/>
    <x v="0"/>
  </r>
  <r>
    <x v="441"/>
    <s v="U8574"/>
    <n v="49332.65"/>
    <x v="2"/>
    <x v="2"/>
    <x v="0"/>
    <x v="3"/>
    <n v="920"/>
    <n v="20"/>
    <n v="4"/>
    <n v="5139.72"/>
    <n v="0"/>
    <n v="0.85599999999999998"/>
    <n v="7"/>
    <x v="0"/>
  </r>
  <r>
    <x v="442"/>
    <s v="U9203"/>
    <n v="18744.830000000002"/>
    <x v="2"/>
    <x v="3"/>
    <x v="2"/>
    <x v="1"/>
    <n v="1808"/>
    <n v="0"/>
    <n v="3"/>
    <n v="21090.65"/>
    <n v="0"/>
    <n v="0.95299999999999996"/>
    <n v="6"/>
    <x v="0"/>
  </r>
  <r>
    <x v="443"/>
    <s v="U1662"/>
    <n v="18563.580000000002"/>
    <x v="1"/>
    <x v="0"/>
    <x v="1"/>
    <x v="0"/>
    <n v="470"/>
    <n v="7"/>
    <n v="4"/>
    <n v="4879.76"/>
    <n v="0"/>
    <n v="0.127"/>
    <n v="6"/>
    <x v="1"/>
  </r>
  <r>
    <x v="444"/>
    <s v="U4501"/>
    <n v="40649.339999999997"/>
    <x v="2"/>
    <x v="1"/>
    <x v="0"/>
    <x v="0"/>
    <n v="1643"/>
    <n v="6"/>
    <n v="4"/>
    <n v="28519.01"/>
    <n v="0"/>
    <n v="0.55500000000000005"/>
    <n v="1"/>
    <x v="0"/>
  </r>
  <r>
    <x v="445"/>
    <s v="U4524"/>
    <n v="47365.07"/>
    <x v="0"/>
    <x v="1"/>
    <x v="1"/>
    <x v="1"/>
    <n v="1650"/>
    <n v="10"/>
    <n v="0"/>
    <n v="29789.11"/>
    <n v="0"/>
    <n v="0.88400000000000001"/>
    <n v="8"/>
    <x v="0"/>
  </r>
  <r>
    <x v="446"/>
    <s v="U4243"/>
    <n v="49300.75"/>
    <x v="0"/>
    <x v="0"/>
    <x v="2"/>
    <x v="0"/>
    <n v="295"/>
    <n v="20"/>
    <n v="1"/>
    <n v="23373.29"/>
    <n v="0"/>
    <n v="0.872"/>
    <n v="3"/>
    <x v="0"/>
  </r>
  <r>
    <x v="447"/>
    <s v="U2456"/>
    <n v="37681.24"/>
    <x v="2"/>
    <x v="1"/>
    <x v="2"/>
    <x v="1"/>
    <n v="1038"/>
    <n v="15"/>
    <n v="2"/>
    <n v="901.33"/>
    <n v="1"/>
    <n v="0.19600000000000001"/>
    <n v="3"/>
    <x v="0"/>
  </r>
  <r>
    <x v="448"/>
    <s v="U3177"/>
    <n v="18844.169999999998"/>
    <x v="1"/>
    <x v="0"/>
    <x v="0"/>
    <x v="3"/>
    <n v="138"/>
    <n v="21"/>
    <n v="0"/>
    <n v="14533.53"/>
    <n v="0"/>
    <n v="0.48099999999999998"/>
    <n v="3"/>
    <x v="0"/>
  </r>
  <r>
    <x v="449"/>
    <s v="U9808"/>
    <n v="4220.8599999999997"/>
    <x v="2"/>
    <x v="3"/>
    <x v="2"/>
    <x v="3"/>
    <n v="965"/>
    <n v="16"/>
    <n v="1"/>
    <n v="12241.78"/>
    <n v="0"/>
    <n v="0.223"/>
    <n v="9"/>
    <x v="0"/>
  </r>
  <r>
    <x v="450"/>
    <s v="U8497"/>
    <n v="38868.49"/>
    <x v="0"/>
    <x v="1"/>
    <x v="1"/>
    <x v="3"/>
    <n v="680"/>
    <n v="23"/>
    <n v="2"/>
    <n v="24006.12"/>
    <n v="0"/>
    <n v="0.89700000000000002"/>
    <n v="5"/>
    <x v="0"/>
  </r>
  <r>
    <x v="451"/>
    <s v="U6669"/>
    <n v="27942.29"/>
    <x v="1"/>
    <x v="1"/>
    <x v="0"/>
    <x v="2"/>
    <n v="1796"/>
    <n v="4"/>
    <n v="2"/>
    <n v="8681.5499999999993"/>
    <n v="0"/>
    <n v="3.0000000000000001E-3"/>
    <n v="2"/>
    <x v="0"/>
  </r>
  <r>
    <x v="452"/>
    <s v="U5044"/>
    <n v="21239.89"/>
    <x v="2"/>
    <x v="0"/>
    <x v="1"/>
    <x v="3"/>
    <n v="508"/>
    <n v="6"/>
    <n v="1"/>
    <n v="11645.17"/>
    <n v="0"/>
    <n v="0.218"/>
    <n v="4"/>
    <x v="0"/>
  </r>
  <r>
    <x v="453"/>
    <s v="U9609"/>
    <n v="45322.400000000001"/>
    <x v="1"/>
    <x v="0"/>
    <x v="0"/>
    <x v="3"/>
    <n v="285"/>
    <n v="9"/>
    <n v="2"/>
    <n v="2895.69"/>
    <n v="0"/>
    <n v="0.40899999999999997"/>
    <n v="7"/>
    <x v="0"/>
  </r>
  <r>
    <x v="454"/>
    <s v="U9865"/>
    <n v="5604.31"/>
    <x v="1"/>
    <x v="3"/>
    <x v="0"/>
    <x v="1"/>
    <n v="1116"/>
    <n v="12"/>
    <n v="3"/>
    <n v="10344.82"/>
    <n v="0"/>
    <n v="0.221"/>
    <n v="1"/>
    <x v="0"/>
  </r>
  <r>
    <x v="455"/>
    <s v="U9057"/>
    <n v="24656.62"/>
    <x v="0"/>
    <x v="0"/>
    <x v="1"/>
    <x v="0"/>
    <n v="1865"/>
    <n v="19"/>
    <n v="3"/>
    <n v="29218.23"/>
    <n v="0"/>
    <n v="0.97399999999999998"/>
    <n v="2"/>
    <x v="0"/>
  </r>
  <r>
    <x v="456"/>
    <s v="U1893"/>
    <n v="617.11"/>
    <x v="1"/>
    <x v="0"/>
    <x v="2"/>
    <x v="0"/>
    <n v="1151"/>
    <n v="14"/>
    <n v="0"/>
    <n v="28270.28"/>
    <n v="0"/>
    <n v="0.24399999999999999"/>
    <n v="8"/>
    <x v="0"/>
  </r>
  <r>
    <x v="457"/>
    <s v="U3656"/>
    <n v="23459.599999999999"/>
    <x v="2"/>
    <x v="3"/>
    <x v="1"/>
    <x v="3"/>
    <n v="1993"/>
    <n v="5"/>
    <n v="2"/>
    <n v="22532.75"/>
    <n v="0"/>
    <n v="0.36199999999999999"/>
    <n v="8"/>
    <x v="0"/>
  </r>
  <r>
    <x v="458"/>
    <s v="U3809"/>
    <n v="2862.35"/>
    <x v="1"/>
    <x v="2"/>
    <x v="2"/>
    <x v="3"/>
    <n v="38"/>
    <n v="1"/>
    <n v="2"/>
    <n v="27227.18"/>
    <n v="0"/>
    <n v="0.17399999999999999"/>
    <n v="3"/>
    <x v="0"/>
  </r>
  <r>
    <x v="459"/>
    <s v="U7611"/>
    <n v="5984.95"/>
    <x v="1"/>
    <x v="2"/>
    <x v="2"/>
    <x v="3"/>
    <n v="1014"/>
    <n v="3"/>
    <n v="1"/>
    <n v="6414"/>
    <n v="0"/>
    <n v="0.92700000000000005"/>
    <n v="5"/>
    <x v="0"/>
  </r>
  <r>
    <x v="460"/>
    <s v="U1269"/>
    <n v="5920.44"/>
    <x v="2"/>
    <x v="0"/>
    <x v="1"/>
    <x v="1"/>
    <n v="1391"/>
    <n v="20"/>
    <n v="3"/>
    <n v="18692.77"/>
    <n v="0"/>
    <n v="0.41099999999999998"/>
    <n v="8"/>
    <x v="0"/>
  </r>
  <r>
    <x v="461"/>
    <s v="U8229"/>
    <n v="32478.05"/>
    <x v="0"/>
    <x v="3"/>
    <x v="0"/>
    <x v="1"/>
    <n v="659"/>
    <n v="13"/>
    <n v="4"/>
    <n v="15049.17"/>
    <n v="0"/>
    <n v="0.26200000000000001"/>
    <n v="9"/>
    <x v="0"/>
  </r>
  <r>
    <x v="462"/>
    <s v="U7692"/>
    <n v="37314.94"/>
    <x v="0"/>
    <x v="2"/>
    <x v="1"/>
    <x v="1"/>
    <n v="1190"/>
    <n v="23"/>
    <n v="0"/>
    <n v="12738.43"/>
    <n v="0"/>
    <n v="0.246"/>
    <n v="2"/>
    <x v="0"/>
  </r>
  <r>
    <x v="463"/>
    <s v="U4315"/>
    <n v="29189.27"/>
    <x v="2"/>
    <x v="3"/>
    <x v="0"/>
    <x v="0"/>
    <n v="40"/>
    <n v="14"/>
    <n v="3"/>
    <n v="9812.57"/>
    <n v="0"/>
    <n v="0.58599999999999997"/>
    <n v="8"/>
    <x v="0"/>
  </r>
  <r>
    <x v="464"/>
    <s v="U7117"/>
    <n v="48110.52"/>
    <x v="2"/>
    <x v="0"/>
    <x v="2"/>
    <x v="2"/>
    <n v="852"/>
    <n v="13"/>
    <n v="1"/>
    <n v="26002.959999999999"/>
    <n v="1"/>
    <n v="0.97799999999999998"/>
    <n v="3"/>
    <x v="0"/>
  </r>
  <r>
    <x v="465"/>
    <s v="U4971"/>
    <n v="18774.79"/>
    <x v="0"/>
    <x v="0"/>
    <x v="0"/>
    <x v="0"/>
    <n v="1319"/>
    <n v="3"/>
    <n v="0"/>
    <n v="14586.71"/>
    <n v="0"/>
    <n v="0.97399999999999998"/>
    <n v="9"/>
    <x v="0"/>
  </r>
  <r>
    <x v="466"/>
    <s v="U7669"/>
    <n v="14321.32"/>
    <x v="1"/>
    <x v="3"/>
    <x v="1"/>
    <x v="1"/>
    <n v="1698"/>
    <n v="5"/>
    <n v="4"/>
    <n v="21748.6"/>
    <n v="1"/>
    <n v="0.98199999999999998"/>
    <n v="5"/>
    <x v="1"/>
  </r>
  <r>
    <x v="467"/>
    <s v="U7432"/>
    <n v="43436.53"/>
    <x v="2"/>
    <x v="1"/>
    <x v="0"/>
    <x v="4"/>
    <n v="345"/>
    <n v="6"/>
    <n v="0"/>
    <n v="21207.91"/>
    <n v="0"/>
    <n v="0.38700000000000001"/>
    <n v="5"/>
    <x v="0"/>
  </r>
  <r>
    <x v="468"/>
    <s v="U7626"/>
    <n v="11218.61"/>
    <x v="1"/>
    <x v="0"/>
    <x v="2"/>
    <x v="2"/>
    <n v="579"/>
    <n v="12"/>
    <n v="3"/>
    <n v="4168.53"/>
    <n v="0"/>
    <n v="0.91400000000000003"/>
    <n v="4"/>
    <x v="1"/>
  </r>
  <r>
    <x v="469"/>
    <s v="U1368"/>
    <n v="48162.97"/>
    <x v="2"/>
    <x v="0"/>
    <x v="2"/>
    <x v="3"/>
    <n v="322"/>
    <n v="16"/>
    <n v="4"/>
    <n v="1563.18"/>
    <n v="0"/>
    <n v="0.44400000000000001"/>
    <n v="8"/>
    <x v="0"/>
  </r>
  <r>
    <x v="470"/>
    <s v="U7366"/>
    <n v="657.12"/>
    <x v="0"/>
    <x v="0"/>
    <x v="0"/>
    <x v="0"/>
    <n v="608"/>
    <n v="16"/>
    <n v="1"/>
    <n v="25214.9"/>
    <n v="0"/>
    <n v="0.51100000000000001"/>
    <n v="1"/>
    <x v="0"/>
  </r>
  <r>
    <x v="471"/>
    <s v="U5220"/>
    <n v="48495.45"/>
    <x v="1"/>
    <x v="0"/>
    <x v="2"/>
    <x v="2"/>
    <n v="1156"/>
    <n v="3"/>
    <n v="0"/>
    <n v="14760.57"/>
    <n v="0"/>
    <n v="0.52"/>
    <n v="6"/>
    <x v="0"/>
  </r>
  <r>
    <x v="472"/>
    <s v="U9577"/>
    <n v="2205.84"/>
    <x v="1"/>
    <x v="3"/>
    <x v="2"/>
    <x v="4"/>
    <n v="1736"/>
    <n v="18"/>
    <n v="3"/>
    <n v="24321.56"/>
    <n v="0"/>
    <n v="6.4000000000000001E-2"/>
    <n v="7"/>
    <x v="0"/>
  </r>
  <r>
    <x v="473"/>
    <s v="U2889"/>
    <n v="44562.6"/>
    <x v="2"/>
    <x v="3"/>
    <x v="0"/>
    <x v="2"/>
    <n v="874"/>
    <n v="19"/>
    <n v="1"/>
    <n v="8982.25"/>
    <n v="0"/>
    <n v="0.17699999999999999"/>
    <n v="8"/>
    <x v="0"/>
  </r>
  <r>
    <x v="474"/>
    <s v="U6117"/>
    <n v="26408.67"/>
    <x v="1"/>
    <x v="3"/>
    <x v="2"/>
    <x v="0"/>
    <n v="380"/>
    <n v="12"/>
    <n v="4"/>
    <n v="25868.78"/>
    <n v="0"/>
    <n v="0.88600000000000001"/>
    <n v="4"/>
    <x v="0"/>
  </r>
  <r>
    <x v="475"/>
    <s v="U9760"/>
    <n v="49648.59"/>
    <x v="2"/>
    <x v="3"/>
    <x v="0"/>
    <x v="1"/>
    <n v="814"/>
    <n v="8"/>
    <n v="0"/>
    <n v="24941.53"/>
    <n v="0"/>
    <n v="0.89600000000000002"/>
    <n v="9"/>
    <x v="0"/>
  </r>
  <r>
    <x v="476"/>
    <s v="U5681"/>
    <n v="3736.14"/>
    <x v="0"/>
    <x v="1"/>
    <x v="0"/>
    <x v="3"/>
    <n v="323"/>
    <n v="1"/>
    <n v="2"/>
    <n v="11511.98"/>
    <n v="0"/>
    <n v="0.20200000000000001"/>
    <n v="3"/>
    <x v="0"/>
  </r>
  <r>
    <x v="477"/>
    <s v="U5591"/>
    <n v="27715.02"/>
    <x v="1"/>
    <x v="3"/>
    <x v="2"/>
    <x v="1"/>
    <n v="37"/>
    <n v="19"/>
    <n v="3"/>
    <n v="12409.77"/>
    <n v="0"/>
    <n v="0.30299999999999999"/>
    <n v="8"/>
    <x v="0"/>
  </r>
  <r>
    <x v="478"/>
    <s v="U6363"/>
    <n v="48466.66"/>
    <x v="2"/>
    <x v="3"/>
    <x v="0"/>
    <x v="1"/>
    <n v="1188"/>
    <n v="22"/>
    <n v="3"/>
    <n v="10591.68"/>
    <n v="0"/>
    <n v="0.83"/>
    <n v="5"/>
    <x v="0"/>
  </r>
  <r>
    <x v="479"/>
    <s v="U4629"/>
    <n v="26178.74"/>
    <x v="1"/>
    <x v="0"/>
    <x v="2"/>
    <x v="0"/>
    <n v="975"/>
    <n v="17"/>
    <n v="2"/>
    <n v="1141.19"/>
    <n v="1"/>
    <n v="0.20399999999999999"/>
    <n v="5"/>
    <x v="0"/>
  </r>
  <r>
    <x v="480"/>
    <s v="U3447"/>
    <n v="31488.46"/>
    <x v="2"/>
    <x v="1"/>
    <x v="2"/>
    <x v="1"/>
    <n v="1263"/>
    <n v="23"/>
    <n v="1"/>
    <n v="20661.05"/>
    <n v="0"/>
    <n v="0.88100000000000001"/>
    <n v="7"/>
    <x v="0"/>
  </r>
  <r>
    <x v="481"/>
    <s v="U2016"/>
    <n v="34802.65"/>
    <x v="2"/>
    <x v="0"/>
    <x v="2"/>
    <x v="1"/>
    <n v="1582"/>
    <n v="19"/>
    <n v="3"/>
    <n v="8254.7000000000007"/>
    <n v="1"/>
    <n v="0.82299999999999995"/>
    <n v="5"/>
    <x v="0"/>
  </r>
  <r>
    <x v="482"/>
    <s v="U4511"/>
    <n v="22754.33"/>
    <x v="2"/>
    <x v="1"/>
    <x v="1"/>
    <x v="0"/>
    <n v="1039"/>
    <n v="16"/>
    <n v="1"/>
    <n v="26532.01"/>
    <n v="0"/>
    <n v="0.80800000000000005"/>
    <n v="7"/>
    <x v="0"/>
  </r>
  <r>
    <x v="483"/>
    <s v="U2010"/>
    <n v="31396.53"/>
    <x v="0"/>
    <x v="2"/>
    <x v="2"/>
    <x v="0"/>
    <n v="482"/>
    <n v="6"/>
    <n v="4"/>
    <n v="26931.58"/>
    <n v="0"/>
    <n v="0.89200000000000002"/>
    <n v="9"/>
    <x v="0"/>
  </r>
  <r>
    <x v="484"/>
    <s v="U5093"/>
    <n v="29236.5"/>
    <x v="1"/>
    <x v="1"/>
    <x v="0"/>
    <x v="4"/>
    <n v="1351"/>
    <n v="16"/>
    <n v="2"/>
    <n v="21705.119999999999"/>
    <n v="0"/>
    <n v="0.88700000000000001"/>
    <n v="5"/>
    <x v="0"/>
  </r>
  <r>
    <x v="485"/>
    <s v="U7483"/>
    <n v="45062.84"/>
    <x v="0"/>
    <x v="1"/>
    <x v="0"/>
    <x v="1"/>
    <n v="1258"/>
    <n v="9"/>
    <n v="1"/>
    <n v="5528.76"/>
    <n v="0"/>
    <n v="0.91700000000000004"/>
    <n v="2"/>
    <x v="0"/>
  </r>
  <r>
    <x v="486"/>
    <s v="U9060"/>
    <n v="2320.0500000000002"/>
    <x v="2"/>
    <x v="0"/>
    <x v="0"/>
    <x v="2"/>
    <n v="1066"/>
    <n v="13"/>
    <n v="4"/>
    <n v="2769.85"/>
    <n v="1"/>
    <n v="0.88"/>
    <n v="6"/>
    <x v="0"/>
  </r>
  <r>
    <x v="487"/>
    <s v="U4406"/>
    <n v="14084.11"/>
    <x v="2"/>
    <x v="1"/>
    <x v="1"/>
    <x v="3"/>
    <n v="98"/>
    <n v="11"/>
    <n v="0"/>
    <n v="24511.75"/>
    <n v="0"/>
    <n v="0.60699999999999998"/>
    <n v="9"/>
    <x v="0"/>
  </r>
  <r>
    <x v="488"/>
    <s v="U8244"/>
    <n v="47523.05"/>
    <x v="0"/>
    <x v="1"/>
    <x v="1"/>
    <x v="3"/>
    <n v="1367"/>
    <n v="11"/>
    <n v="3"/>
    <n v="26802.68"/>
    <n v="0"/>
    <n v="0.158"/>
    <n v="9"/>
    <x v="0"/>
  </r>
  <r>
    <x v="489"/>
    <s v="U8966"/>
    <n v="44518.68"/>
    <x v="0"/>
    <x v="0"/>
    <x v="0"/>
    <x v="0"/>
    <n v="49"/>
    <n v="16"/>
    <n v="2"/>
    <n v="10625.97"/>
    <n v="1"/>
    <n v="0.60899999999999999"/>
    <n v="5"/>
    <x v="0"/>
  </r>
  <r>
    <x v="490"/>
    <s v="U6497"/>
    <n v="22810.05"/>
    <x v="1"/>
    <x v="2"/>
    <x v="0"/>
    <x v="0"/>
    <n v="690"/>
    <n v="18"/>
    <n v="0"/>
    <n v="10653.38"/>
    <n v="0"/>
    <n v="0.94199999999999995"/>
    <n v="2"/>
    <x v="0"/>
  </r>
  <r>
    <x v="491"/>
    <s v="U7340"/>
    <n v="31025.62"/>
    <x v="2"/>
    <x v="2"/>
    <x v="1"/>
    <x v="4"/>
    <n v="384"/>
    <n v="22"/>
    <n v="0"/>
    <n v="11769.25"/>
    <n v="1"/>
    <n v="0.96799999999999997"/>
    <n v="6"/>
    <x v="0"/>
  </r>
  <r>
    <x v="492"/>
    <s v="U5736"/>
    <n v="13905.19"/>
    <x v="0"/>
    <x v="2"/>
    <x v="0"/>
    <x v="1"/>
    <n v="1331"/>
    <n v="13"/>
    <n v="0"/>
    <n v="24845.91"/>
    <n v="0"/>
    <n v="0.72799999999999998"/>
    <n v="4"/>
    <x v="0"/>
  </r>
  <r>
    <x v="493"/>
    <s v="U8883"/>
    <n v="9446.65"/>
    <x v="2"/>
    <x v="1"/>
    <x v="2"/>
    <x v="0"/>
    <n v="1007"/>
    <n v="16"/>
    <n v="1"/>
    <n v="21241.45"/>
    <n v="0"/>
    <n v="0.69399999999999995"/>
    <n v="4"/>
    <x v="0"/>
  </r>
  <r>
    <x v="494"/>
    <s v="U1343"/>
    <n v="23211.74"/>
    <x v="2"/>
    <x v="0"/>
    <x v="2"/>
    <x v="0"/>
    <n v="402"/>
    <n v="14"/>
    <n v="3"/>
    <n v="3747.09"/>
    <n v="0"/>
    <n v="0.93799999999999994"/>
    <n v="3"/>
    <x v="1"/>
  </r>
  <r>
    <x v="495"/>
    <s v="U5782"/>
    <n v="17699.939999999999"/>
    <x v="1"/>
    <x v="2"/>
    <x v="0"/>
    <x v="3"/>
    <n v="1051"/>
    <n v="20"/>
    <n v="2"/>
    <n v="19077.25"/>
    <n v="0"/>
    <n v="0.29099999999999998"/>
    <n v="1"/>
    <x v="0"/>
  </r>
  <r>
    <x v="496"/>
    <s v="U9357"/>
    <n v="29203.62"/>
    <x v="1"/>
    <x v="2"/>
    <x v="2"/>
    <x v="1"/>
    <n v="1560"/>
    <n v="5"/>
    <n v="3"/>
    <n v="392.35"/>
    <n v="0"/>
    <n v="0.151"/>
    <n v="9"/>
    <x v="1"/>
  </r>
  <r>
    <x v="497"/>
    <s v="U7525"/>
    <n v="3932.85"/>
    <x v="1"/>
    <x v="2"/>
    <x v="0"/>
    <x v="4"/>
    <n v="141"/>
    <n v="18"/>
    <n v="3"/>
    <n v="21340.55"/>
    <n v="0"/>
    <n v="0.28999999999999998"/>
    <n v="6"/>
    <x v="0"/>
  </r>
  <r>
    <x v="498"/>
    <s v="U7816"/>
    <n v="48721.02"/>
    <x v="0"/>
    <x v="2"/>
    <x v="1"/>
    <x v="0"/>
    <n v="299"/>
    <n v="21"/>
    <n v="3"/>
    <n v="22962.51"/>
    <n v="0"/>
    <n v="0.94899999999999995"/>
    <n v="3"/>
    <x v="0"/>
  </r>
  <r>
    <x v="499"/>
    <s v="U1226"/>
    <n v="49311.23"/>
    <x v="2"/>
    <x v="0"/>
    <x v="0"/>
    <x v="0"/>
    <n v="1863"/>
    <n v="19"/>
    <n v="4"/>
    <n v="24466.959999999999"/>
    <n v="0"/>
    <n v="0.21199999999999999"/>
    <n v="1"/>
    <x v="0"/>
  </r>
  <r>
    <x v="500"/>
    <s v="U6928"/>
    <n v="34923.18"/>
    <x v="0"/>
    <x v="2"/>
    <x v="1"/>
    <x v="0"/>
    <n v="815"/>
    <n v="5"/>
    <n v="4"/>
    <n v="18806.71"/>
    <n v="0"/>
    <n v="0.22500000000000001"/>
    <n v="6"/>
    <x v="0"/>
  </r>
  <r>
    <x v="501"/>
    <s v="U5900"/>
    <n v="26828.01"/>
    <x v="0"/>
    <x v="1"/>
    <x v="2"/>
    <x v="3"/>
    <n v="218"/>
    <n v="5"/>
    <n v="4"/>
    <n v="5499.58"/>
    <n v="0"/>
    <n v="0.193"/>
    <n v="4"/>
    <x v="0"/>
  </r>
  <r>
    <x v="502"/>
    <s v="U6963"/>
    <n v="15510.9"/>
    <x v="1"/>
    <x v="1"/>
    <x v="2"/>
    <x v="0"/>
    <n v="336"/>
    <n v="3"/>
    <n v="4"/>
    <n v="23833.03"/>
    <n v="0"/>
    <n v="0.48499999999999999"/>
    <n v="1"/>
    <x v="0"/>
  </r>
  <r>
    <x v="503"/>
    <s v="U7095"/>
    <n v="40699.06"/>
    <x v="2"/>
    <x v="0"/>
    <x v="2"/>
    <x v="0"/>
    <n v="1001"/>
    <n v="0"/>
    <n v="3"/>
    <n v="27003.74"/>
    <n v="0"/>
    <n v="0.79600000000000004"/>
    <n v="4"/>
    <x v="0"/>
  </r>
  <r>
    <x v="504"/>
    <s v="U3789"/>
    <n v="34252.32"/>
    <x v="2"/>
    <x v="3"/>
    <x v="0"/>
    <x v="3"/>
    <n v="512"/>
    <n v="18"/>
    <n v="3"/>
    <n v="19050.5"/>
    <n v="0"/>
    <n v="0.38200000000000001"/>
    <n v="2"/>
    <x v="1"/>
  </r>
  <r>
    <x v="505"/>
    <s v="U2679"/>
    <n v="8172.72"/>
    <x v="1"/>
    <x v="2"/>
    <x v="1"/>
    <x v="0"/>
    <n v="288"/>
    <n v="10"/>
    <n v="2"/>
    <n v="8326.02"/>
    <n v="0"/>
    <n v="0.1"/>
    <n v="3"/>
    <x v="0"/>
  </r>
  <r>
    <x v="506"/>
    <s v="U8746"/>
    <n v="45550.81"/>
    <x v="2"/>
    <x v="2"/>
    <x v="1"/>
    <x v="1"/>
    <n v="1415"/>
    <n v="6"/>
    <n v="2"/>
    <n v="5462.89"/>
    <n v="0"/>
    <n v="0.74"/>
    <n v="7"/>
    <x v="0"/>
  </r>
  <r>
    <x v="507"/>
    <s v="U2116"/>
    <n v="41135.74"/>
    <x v="1"/>
    <x v="1"/>
    <x v="2"/>
    <x v="1"/>
    <n v="797"/>
    <n v="1"/>
    <n v="2"/>
    <n v="7020.74"/>
    <n v="0"/>
    <n v="0.61"/>
    <n v="7"/>
    <x v="0"/>
  </r>
  <r>
    <x v="508"/>
    <s v="U1917"/>
    <n v="47492.51"/>
    <x v="0"/>
    <x v="0"/>
    <x v="2"/>
    <x v="3"/>
    <n v="1016"/>
    <n v="3"/>
    <n v="2"/>
    <n v="605.44000000000005"/>
    <n v="0"/>
    <n v="0.47899999999999998"/>
    <n v="5"/>
    <x v="0"/>
  </r>
  <r>
    <x v="509"/>
    <s v="U9829"/>
    <n v="36299.69"/>
    <x v="0"/>
    <x v="3"/>
    <x v="1"/>
    <x v="1"/>
    <n v="961"/>
    <n v="5"/>
    <n v="2"/>
    <n v="404.04"/>
    <n v="0"/>
    <n v="0.96399999999999997"/>
    <n v="2"/>
    <x v="0"/>
  </r>
  <r>
    <x v="510"/>
    <s v="U3842"/>
    <n v="30690.09"/>
    <x v="1"/>
    <x v="1"/>
    <x v="0"/>
    <x v="4"/>
    <n v="1342"/>
    <n v="4"/>
    <n v="4"/>
    <n v="8981.4500000000007"/>
    <n v="0"/>
    <n v="0.47"/>
    <n v="9"/>
    <x v="0"/>
  </r>
  <r>
    <x v="511"/>
    <s v="U5680"/>
    <n v="20941.240000000002"/>
    <x v="0"/>
    <x v="3"/>
    <x v="2"/>
    <x v="0"/>
    <n v="1931"/>
    <n v="21"/>
    <n v="3"/>
    <n v="27696.5"/>
    <n v="0"/>
    <n v="0.73299999999999998"/>
    <n v="9"/>
    <x v="0"/>
  </r>
  <r>
    <x v="512"/>
    <s v="U5783"/>
    <n v="46639.79"/>
    <x v="0"/>
    <x v="0"/>
    <x v="0"/>
    <x v="4"/>
    <n v="286"/>
    <n v="20"/>
    <n v="2"/>
    <n v="18677.689999999999"/>
    <n v="0"/>
    <n v="0.159"/>
    <n v="9"/>
    <x v="0"/>
  </r>
  <r>
    <x v="513"/>
    <s v="U2496"/>
    <n v="43309.89"/>
    <x v="1"/>
    <x v="0"/>
    <x v="2"/>
    <x v="1"/>
    <n v="1109"/>
    <n v="8"/>
    <n v="1"/>
    <n v="11644.6"/>
    <n v="0"/>
    <n v="0.41699999999999998"/>
    <n v="6"/>
    <x v="0"/>
  </r>
  <r>
    <x v="514"/>
    <s v="U7162"/>
    <n v="2308.67"/>
    <x v="0"/>
    <x v="0"/>
    <x v="2"/>
    <x v="3"/>
    <n v="307"/>
    <n v="10"/>
    <n v="2"/>
    <n v="424.34"/>
    <n v="0"/>
    <n v="0.21199999999999999"/>
    <n v="1"/>
    <x v="0"/>
  </r>
  <r>
    <x v="515"/>
    <s v="U8722"/>
    <n v="1367.03"/>
    <x v="2"/>
    <x v="1"/>
    <x v="0"/>
    <x v="3"/>
    <n v="1858"/>
    <n v="17"/>
    <n v="2"/>
    <n v="29692.03"/>
    <n v="0"/>
    <n v="0.34799999999999998"/>
    <n v="6"/>
    <x v="0"/>
  </r>
  <r>
    <x v="516"/>
    <s v="U1718"/>
    <n v="18854.349999999999"/>
    <x v="0"/>
    <x v="0"/>
    <x v="0"/>
    <x v="4"/>
    <n v="1411"/>
    <n v="19"/>
    <n v="3"/>
    <n v="13729.75"/>
    <n v="0"/>
    <n v="0.48"/>
    <n v="8"/>
    <x v="0"/>
  </r>
  <r>
    <x v="517"/>
    <s v="U3648"/>
    <n v="19075.5"/>
    <x v="2"/>
    <x v="1"/>
    <x v="2"/>
    <x v="3"/>
    <n v="1811"/>
    <n v="21"/>
    <n v="1"/>
    <n v="15958.94"/>
    <n v="0"/>
    <n v="0.67500000000000004"/>
    <n v="4"/>
    <x v="1"/>
  </r>
  <r>
    <x v="518"/>
    <s v="U1162"/>
    <n v="49985.9"/>
    <x v="1"/>
    <x v="0"/>
    <x v="1"/>
    <x v="4"/>
    <n v="1480"/>
    <n v="6"/>
    <n v="1"/>
    <n v="3130.59"/>
    <n v="1"/>
    <n v="0.42499999999999999"/>
    <n v="6"/>
    <x v="1"/>
  </r>
  <r>
    <x v="519"/>
    <s v="U9630"/>
    <n v="29362.71"/>
    <x v="2"/>
    <x v="1"/>
    <x v="0"/>
    <x v="1"/>
    <n v="33"/>
    <n v="3"/>
    <n v="3"/>
    <n v="431.1"/>
    <n v="0"/>
    <n v="0.88500000000000001"/>
    <n v="3"/>
    <x v="1"/>
  </r>
  <r>
    <x v="520"/>
    <s v="U4582"/>
    <n v="5646.34"/>
    <x v="2"/>
    <x v="3"/>
    <x v="2"/>
    <x v="4"/>
    <n v="1382"/>
    <n v="20"/>
    <n v="2"/>
    <n v="1900.52"/>
    <n v="0"/>
    <n v="0.18"/>
    <n v="6"/>
    <x v="1"/>
  </r>
  <r>
    <x v="521"/>
    <s v="U7573"/>
    <n v="48475.05"/>
    <x v="0"/>
    <x v="0"/>
    <x v="1"/>
    <x v="1"/>
    <n v="964"/>
    <n v="17"/>
    <n v="1"/>
    <n v="1663.43"/>
    <n v="0"/>
    <n v="4.0000000000000001E-3"/>
    <n v="9"/>
    <x v="1"/>
  </r>
  <r>
    <x v="522"/>
    <s v="U8515"/>
    <n v="16217.78"/>
    <x v="2"/>
    <x v="0"/>
    <x v="1"/>
    <x v="0"/>
    <n v="162"/>
    <n v="23"/>
    <n v="1"/>
    <n v="20878.28"/>
    <n v="0"/>
    <n v="0.41599999999999998"/>
    <n v="5"/>
    <x v="1"/>
  </r>
  <r>
    <x v="523"/>
    <s v="U4427"/>
    <n v="6764.01"/>
    <x v="0"/>
    <x v="2"/>
    <x v="2"/>
    <x v="1"/>
    <n v="348"/>
    <n v="13"/>
    <n v="3"/>
    <n v="6550.99"/>
    <n v="0"/>
    <n v="0.76700000000000002"/>
    <n v="5"/>
    <x v="1"/>
  </r>
  <r>
    <x v="524"/>
    <s v="U3661"/>
    <n v="34091.06"/>
    <x v="2"/>
    <x v="0"/>
    <x v="0"/>
    <x v="1"/>
    <n v="1573"/>
    <n v="2"/>
    <n v="3"/>
    <n v="4069.07"/>
    <n v="0"/>
    <n v="0.56699999999999995"/>
    <n v="5"/>
    <x v="1"/>
  </r>
  <r>
    <x v="525"/>
    <s v="U9918"/>
    <n v="38023.379999999997"/>
    <x v="0"/>
    <x v="1"/>
    <x v="0"/>
    <x v="4"/>
    <n v="758"/>
    <n v="12"/>
    <n v="2"/>
    <n v="9077.35"/>
    <n v="0"/>
    <n v="0.51700000000000002"/>
    <n v="9"/>
    <x v="1"/>
  </r>
  <r>
    <x v="526"/>
    <s v="U9408"/>
    <n v="6258.65"/>
    <x v="2"/>
    <x v="0"/>
    <x v="2"/>
    <x v="4"/>
    <n v="1235"/>
    <n v="14"/>
    <n v="1"/>
    <n v="20019.21"/>
    <n v="0"/>
    <n v="8.8999999999999996E-2"/>
    <n v="7"/>
    <x v="1"/>
  </r>
  <r>
    <x v="527"/>
    <s v="U8701"/>
    <n v="36556.83"/>
    <x v="1"/>
    <x v="1"/>
    <x v="1"/>
    <x v="4"/>
    <n v="1073"/>
    <n v="3"/>
    <n v="2"/>
    <n v="25674.97"/>
    <n v="0"/>
    <n v="0.93899999999999995"/>
    <n v="9"/>
    <x v="1"/>
  </r>
  <r>
    <x v="528"/>
    <s v="U2006"/>
    <n v="23160.86"/>
    <x v="1"/>
    <x v="1"/>
    <x v="1"/>
    <x v="2"/>
    <n v="1321"/>
    <n v="7"/>
    <n v="2"/>
    <n v="22375.07"/>
    <n v="0"/>
    <n v="0.52"/>
    <n v="7"/>
    <x v="1"/>
  </r>
  <r>
    <x v="529"/>
    <s v="U8272"/>
    <n v="15620.52"/>
    <x v="0"/>
    <x v="3"/>
    <x v="0"/>
    <x v="1"/>
    <n v="1608"/>
    <n v="1"/>
    <n v="0"/>
    <n v="25687.3"/>
    <n v="0"/>
    <n v="0.26100000000000001"/>
    <n v="3"/>
    <x v="1"/>
  </r>
  <r>
    <x v="530"/>
    <s v="U8951"/>
    <n v="7709.9"/>
    <x v="2"/>
    <x v="0"/>
    <x v="1"/>
    <x v="0"/>
    <n v="1624"/>
    <n v="22"/>
    <n v="4"/>
    <n v="6632.71"/>
    <n v="0"/>
    <n v="2.8000000000000001E-2"/>
    <n v="6"/>
    <x v="1"/>
  </r>
  <r>
    <x v="531"/>
    <s v="U9882"/>
    <n v="36835.39"/>
    <x v="0"/>
    <x v="0"/>
    <x v="2"/>
    <x v="3"/>
    <n v="631"/>
    <n v="16"/>
    <n v="0"/>
    <n v="14608.57"/>
    <n v="0"/>
    <n v="0.43"/>
    <n v="2"/>
    <x v="1"/>
  </r>
  <r>
    <x v="532"/>
    <s v="U2525"/>
    <n v="49242.82"/>
    <x v="1"/>
    <x v="3"/>
    <x v="0"/>
    <x v="2"/>
    <n v="853"/>
    <n v="20"/>
    <n v="4"/>
    <n v="2849.29"/>
    <n v="0"/>
    <n v="0.40200000000000002"/>
    <n v="2"/>
    <x v="1"/>
  </r>
  <r>
    <x v="533"/>
    <s v="U4106"/>
    <n v="11269.01"/>
    <x v="2"/>
    <x v="0"/>
    <x v="0"/>
    <x v="4"/>
    <n v="1060"/>
    <n v="22"/>
    <n v="1"/>
    <n v="20666.240000000002"/>
    <n v="0"/>
    <n v="0.17199999999999999"/>
    <n v="7"/>
    <x v="1"/>
  </r>
  <r>
    <x v="534"/>
    <s v="U6398"/>
    <n v="48055.46"/>
    <x v="2"/>
    <x v="1"/>
    <x v="0"/>
    <x v="4"/>
    <n v="1843"/>
    <n v="0"/>
    <n v="4"/>
    <n v="8378.9599999999991"/>
    <n v="0"/>
    <n v="9.5000000000000001E-2"/>
    <n v="9"/>
    <x v="1"/>
  </r>
  <r>
    <x v="535"/>
    <s v="U1270"/>
    <n v="49843.87"/>
    <x v="0"/>
    <x v="2"/>
    <x v="2"/>
    <x v="1"/>
    <n v="1577"/>
    <n v="19"/>
    <n v="3"/>
    <n v="19610.61"/>
    <n v="0"/>
    <n v="4.3999999999999997E-2"/>
    <n v="9"/>
    <x v="1"/>
  </r>
  <r>
    <x v="536"/>
    <s v="U6418"/>
    <n v="28263.81"/>
    <x v="2"/>
    <x v="0"/>
    <x v="1"/>
    <x v="3"/>
    <n v="380"/>
    <n v="12"/>
    <n v="3"/>
    <n v="28903.69"/>
    <n v="0"/>
    <n v="0.32800000000000001"/>
    <n v="4"/>
    <x v="1"/>
  </r>
  <r>
    <x v="537"/>
    <s v="U1192"/>
    <n v="35812.81"/>
    <x v="2"/>
    <x v="1"/>
    <x v="2"/>
    <x v="3"/>
    <n v="1376"/>
    <n v="4"/>
    <n v="3"/>
    <n v="22761.19"/>
    <n v="0"/>
    <n v="0.33500000000000002"/>
    <n v="5"/>
    <x v="1"/>
  </r>
  <r>
    <x v="538"/>
    <s v="U4392"/>
    <n v="33611.040000000001"/>
    <x v="1"/>
    <x v="0"/>
    <x v="0"/>
    <x v="3"/>
    <n v="1074"/>
    <n v="23"/>
    <n v="2"/>
    <n v="14431.08"/>
    <n v="0"/>
    <n v="0.48099999999999998"/>
    <n v="2"/>
    <x v="1"/>
  </r>
  <r>
    <x v="539"/>
    <s v="U9919"/>
    <n v="8625.3799999999992"/>
    <x v="2"/>
    <x v="0"/>
    <x v="1"/>
    <x v="0"/>
    <n v="1877"/>
    <n v="8"/>
    <n v="4"/>
    <n v="10909.42"/>
    <n v="0"/>
    <n v="0.77600000000000002"/>
    <n v="3"/>
    <x v="1"/>
  </r>
  <r>
    <x v="540"/>
    <s v="U1838"/>
    <n v="8809.7999999999993"/>
    <x v="1"/>
    <x v="3"/>
    <x v="0"/>
    <x v="4"/>
    <n v="1563"/>
    <n v="20"/>
    <n v="1"/>
    <n v="25128.13"/>
    <n v="0"/>
    <n v="0.97799999999999998"/>
    <n v="7"/>
    <x v="1"/>
  </r>
  <r>
    <x v="541"/>
    <s v="U7989"/>
    <n v="19495.32"/>
    <x v="1"/>
    <x v="3"/>
    <x v="1"/>
    <x v="1"/>
    <n v="422"/>
    <n v="12"/>
    <n v="4"/>
    <n v="14537.78"/>
    <n v="0"/>
    <n v="0.253"/>
    <n v="6"/>
    <x v="1"/>
  </r>
  <r>
    <x v="542"/>
    <s v="U5396"/>
    <n v="35966.339999999997"/>
    <x v="1"/>
    <x v="3"/>
    <x v="1"/>
    <x v="3"/>
    <n v="1700"/>
    <n v="15"/>
    <n v="4"/>
    <n v="27127.74"/>
    <n v="0"/>
    <n v="0.25600000000000001"/>
    <n v="9"/>
    <x v="1"/>
  </r>
  <r>
    <x v="543"/>
    <s v="U3285"/>
    <n v="10786.27"/>
    <x v="0"/>
    <x v="0"/>
    <x v="2"/>
    <x v="0"/>
    <n v="1294"/>
    <n v="15"/>
    <n v="4"/>
    <n v="6523.46"/>
    <n v="0"/>
    <n v="0.97599999999999998"/>
    <n v="9"/>
    <x v="1"/>
  </r>
  <r>
    <x v="544"/>
    <s v="U7347"/>
    <n v="35293.480000000003"/>
    <x v="2"/>
    <x v="1"/>
    <x v="0"/>
    <x v="3"/>
    <n v="428"/>
    <n v="9"/>
    <n v="0"/>
    <n v="8611.39"/>
    <n v="0"/>
    <n v="0.88700000000000001"/>
    <n v="7"/>
    <x v="1"/>
  </r>
  <r>
    <x v="545"/>
    <s v="U4754"/>
    <n v="36252.1"/>
    <x v="1"/>
    <x v="1"/>
    <x v="2"/>
    <x v="0"/>
    <n v="1784"/>
    <n v="11"/>
    <n v="4"/>
    <n v="29049.31"/>
    <n v="0"/>
    <n v="0.43"/>
    <n v="8"/>
    <x v="1"/>
  </r>
  <r>
    <x v="546"/>
    <s v="U4816"/>
    <n v="14850.59"/>
    <x v="0"/>
    <x v="3"/>
    <x v="1"/>
    <x v="4"/>
    <n v="1750"/>
    <n v="17"/>
    <n v="2"/>
    <n v="28024.95"/>
    <n v="1"/>
    <n v="0.58599999999999997"/>
    <n v="3"/>
    <x v="1"/>
  </r>
  <r>
    <x v="547"/>
    <s v="U7181"/>
    <n v="49558.87"/>
    <x v="2"/>
    <x v="0"/>
    <x v="0"/>
    <x v="2"/>
    <n v="1198"/>
    <n v="4"/>
    <n v="4"/>
    <n v="21084.48"/>
    <n v="0"/>
    <n v="0.92900000000000005"/>
    <n v="4"/>
    <x v="1"/>
  </r>
  <r>
    <x v="548"/>
    <s v="U8815"/>
    <n v="34816.230000000003"/>
    <x v="0"/>
    <x v="2"/>
    <x v="1"/>
    <x v="4"/>
    <n v="1481"/>
    <n v="7"/>
    <n v="2"/>
    <n v="24058.74"/>
    <n v="0"/>
    <n v="0.50800000000000001"/>
    <n v="8"/>
    <x v="1"/>
  </r>
  <r>
    <x v="549"/>
    <s v="U8541"/>
    <n v="29667.35"/>
    <x v="1"/>
    <x v="0"/>
    <x v="2"/>
    <x v="4"/>
    <n v="1310"/>
    <n v="22"/>
    <n v="2"/>
    <n v="2372.84"/>
    <n v="0"/>
    <n v="0.01"/>
    <n v="8"/>
    <x v="1"/>
  </r>
  <r>
    <x v="550"/>
    <s v="U3314"/>
    <n v="4619.7700000000004"/>
    <x v="1"/>
    <x v="2"/>
    <x v="1"/>
    <x v="3"/>
    <n v="1335"/>
    <n v="22"/>
    <n v="3"/>
    <n v="18605.89"/>
    <n v="0"/>
    <n v="0.57899999999999996"/>
    <n v="1"/>
    <x v="1"/>
  </r>
  <r>
    <x v="551"/>
    <s v="U1159"/>
    <n v="32779.339999999997"/>
    <x v="0"/>
    <x v="1"/>
    <x v="2"/>
    <x v="2"/>
    <n v="1790"/>
    <n v="4"/>
    <n v="4"/>
    <n v="8905.31"/>
    <n v="0"/>
    <n v="0.48499999999999999"/>
    <n v="7"/>
    <x v="1"/>
  </r>
  <r>
    <x v="552"/>
    <s v="U4858"/>
    <n v="43371.35"/>
    <x v="2"/>
    <x v="2"/>
    <x v="1"/>
    <x v="0"/>
    <n v="964"/>
    <n v="19"/>
    <n v="1"/>
    <n v="13307.55"/>
    <n v="0"/>
    <n v="0.378"/>
    <n v="8"/>
    <x v="1"/>
  </r>
  <r>
    <x v="553"/>
    <s v="U1667"/>
    <n v="37648.199999999997"/>
    <x v="0"/>
    <x v="2"/>
    <x v="1"/>
    <x v="0"/>
    <n v="879"/>
    <n v="2"/>
    <n v="3"/>
    <n v="14450.33"/>
    <n v="0"/>
    <n v="0.26300000000000001"/>
    <n v="9"/>
    <x v="1"/>
  </r>
  <r>
    <x v="554"/>
    <s v="U9413"/>
    <n v="368.97"/>
    <x v="2"/>
    <x v="2"/>
    <x v="0"/>
    <x v="2"/>
    <n v="780"/>
    <n v="9"/>
    <n v="3"/>
    <n v="10382.67"/>
    <n v="0"/>
    <n v="0.66400000000000003"/>
    <n v="6"/>
    <x v="1"/>
  </r>
  <r>
    <x v="555"/>
    <s v="U3879"/>
    <n v="37495.11"/>
    <x v="0"/>
    <x v="1"/>
    <x v="2"/>
    <x v="2"/>
    <n v="1263"/>
    <n v="10"/>
    <n v="3"/>
    <n v="4642.6499999999996"/>
    <n v="0"/>
    <n v="0.42899999999999999"/>
    <n v="2"/>
    <x v="1"/>
  </r>
  <r>
    <x v="556"/>
    <s v="U1418"/>
    <n v="21337.759999999998"/>
    <x v="2"/>
    <x v="2"/>
    <x v="1"/>
    <x v="0"/>
    <n v="1956"/>
    <n v="18"/>
    <n v="2"/>
    <n v="3779.42"/>
    <n v="0"/>
    <n v="0.36899999999999999"/>
    <n v="2"/>
    <x v="1"/>
  </r>
  <r>
    <x v="557"/>
    <s v="U4576"/>
    <n v="4164.93"/>
    <x v="1"/>
    <x v="3"/>
    <x v="2"/>
    <x v="3"/>
    <n v="734"/>
    <n v="23"/>
    <n v="3"/>
    <n v="25689.63"/>
    <n v="1"/>
    <n v="0.06"/>
    <n v="8"/>
    <x v="1"/>
  </r>
  <r>
    <x v="558"/>
    <s v="U2482"/>
    <n v="5909.54"/>
    <x v="1"/>
    <x v="2"/>
    <x v="2"/>
    <x v="4"/>
    <n v="714"/>
    <n v="13"/>
    <n v="3"/>
    <n v="18420.04"/>
    <n v="1"/>
    <n v="0.66400000000000003"/>
    <n v="5"/>
    <x v="1"/>
  </r>
  <r>
    <x v="559"/>
    <s v="U6375"/>
    <n v="39003.56"/>
    <x v="0"/>
    <x v="0"/>
    <x v="1"/>
    <x v="3"/>
    <n v="98"/>
    <n v="6"/>
    <n v="0"/>
    <n v="13128.02"/>
    <n v="0"/>
    <n v="0.20599999999999999"/>
    <n v="5"/>
    <x v="1"/>
  </r>
  <r>
    <x v="560"/>
    <s v="U4435"/>
    <n v="6679.15"/>
    <x v="0"/>
    <x v="3"/>
    <x v="1"/>
    <x v="3"/>
    <n v="810"/>
    <n v="8"/>
    <n v="4"/>
    <n v="29336.55"/>
    <n v="0"/>
    <n v="2.3E-2"/>
    <n v="8"/>
    <x v="1"/>
  </r>
  <r>
    <x v="561"/>
    <s v="U5495"/>
    <n v="35338.46"/>
    <x v="1"/>
    <x v="1"/>
    <x v="2"/>
    <x v="2"/>
    <n v="1991"/>
    <n v="14"/>
    <n v="1"/>
    <n v="7652.7"/>
    <n v="0"/>
    <n v="0.46500000000000002"/>
    <n v="8"/>
    <x v="1"/>
  </r>
  <r>
    <x v="562"/>
    <s v="U9384"/>
    <n v="12392.81"/>
    <x v="2"/>
    <x v="3"/>
    <x v="0"/>
    <x v="3"/>
    <n v="345"/>
    <n v="2"/>
    <n v="2"/>
    <n v="23846.79"/>
    <n v="0"/>
    <n v="0.876"/>
    <n v="4"/>
    <x v="1"/>
  </r>
  <r>
    <x v="563"/>
    <s v="U2354"/>
    <n v="16877.939999999999"/>
    <x v="2"/>
    <x v="1"/>
    <x v="1"/>
    <x v="2"/>
    <n v="128"/>
    <n v="10"/>
    <n v="0"/>
    <n v="9044.3700000000008"/>
    <n v="1"/>
    <n v="0.749"/>
    <n v="2"/>
    <x v="1"/>
  </r>
  <r>
    <x v="564"/>
    <s v="U1091"/>
    <n v="12921.26"/>
    <x v="1"/>
    <x v="0"/>
    <x v="2"/>
    <x v="0"/>
    <n v="46"/>
    <n v="23"/>
    <n v="1"/>
    <n v="27048.27"/>
    <n v="0"/>
    <n v="0.86199999999999999"/>
    <n v="4"/>
    <x v="1"/>
  </r>
  <r>
    <x v="565"/>
    <s v="U7238"/>
    <n v="11840.72"/>
    <x v="2"/>
    <x v="2"/>
    <x v="0"/>
    <x v="3"/>
    <n v="1526"/>
    <n v="19"/>
    <n v="0"/>
    <n v="28593.58"/>
    <n v="0"/>
    <n v="0.254"/>
    <n v="3"/>
    <x v="1"/>
  </r>
  <r>
    <x v="566"/>
    <s v="U3589"/>
    <n v="46697.06"/>
    <x v="1"/>
    <x v="0"/>
    <x v="1"/>
    <x v="1"/>
    <n v="1785"/>
    <n v="16"/>
    <n v="2"/>
    <n v="8775.86"/>
    <n v="0"/>
    <n v="0.27200000000000002"/>
    <n v="6"/>
    <x v="1"/>
  </r>
  <r>
    <x v="567"/>
    <s v="U7124"/>
    <n v="35248.800000000003"/>
    <x v="1"/>
    <x v="2"/>
    <x v="2"/>
    <x v="0"/>
    <n v="169"/>
    <n v="10"/>
    <n v="0"/>
    <n v="9161.4500000000007"/>
    <n v="0"/>
    <n v="0.13900000000000001"/>
    <n v="3"/>
    <x v="1"/>
  </r>
  <r>
    <x v="568"/>
    <s v="U2074"/>
    <n v="22215.32"/>
    <x v="0"/>
    <x v="1"/>
    <x v="1"/>
    <x v="1"/>
    <n v="488"/>
    <n v="21"/>
    <n v="1"/>
    <n v="24969.86"/>
    <n v="0"/>
    <n v="0.17100000000000001"/>
    <n v="8"/>
    <x v="1"/>
  </r>
  <r>
    <x v="569"/>
    <s v="U2861"/>
    <n v="34646.67"/>
    <x v="2"/>
    <x v="3"/>
    <x v="0"/>
    <x v="1"/>
    <n v="1943"/>
    <n v="8"/>
    <n v="4"/>
    <n v="12608.55"/>
    <n v="0"/>
    <n v="2.3E-2"/>
    <n v="7"/>
    <x v="1"/>
  </r>
  <r>
    <x v="570"/>
    <s v="U5735"/>
    <n v="47233.48"/>
    <x v="0"/>
    <x v="1"/>
    <x v="1"/>
    <x v="4"/>
    <n v="481"/>
    <n v="1"/>
    <n v="1"/>
    <n v="2932.78"/>
    <n v="0"/>
    <n v="0.107"/>
    <n v="9"/>
    <x v="1"/>
  </r>
  <r>
    <x v="571"/>
    <s v="U4810"/>
    <n v="43451.8"/>
    <x v="2"/>
    <x v="2"/>
    <x v="0"/>
    <x v="3"/>
    <n v="896"/>
    <n v="1"/>
    <n v="1"/>
    <n v="2558.16"/>
    <n v="0"/>
    <n v="0.27700000000000002"/>
    <n v="9"/>
    <x v="1"/>
  </r>
  <r>
    <x v="572"/>
    <s v="U7093"/>
    <n v="32909.370000000003"/>
    <x v="0"/>
    <x v="3"/>
    <x v="1"/>
    <x v="0"/>
    <n v="314"/>
    <n v="14"/>
    <n v="1"/>
    <n v="19126.43"/>
    <n v="0"/>
    <n v="1.4E-2"/>
    <n v="6"/>
    <x v="1"/>
  </r>
  <r>
    <x v="573"/>
    <s v="U7111"/>
    <n v="39130.15"/>
    <x v="2"/>
    <x v="3"/>
    <x v="0"/>
    <x v="3"/>
    <n v="1241"/>
    <n v="0"/>
    <n v="1"/>
    <n v="27733.25"/>
    <n v="0"/>
    <n v="0.17599999999999999"/>
    <n v="9"/>
    <x v="1"/>
  </r>
  <r>
    <x v="574"/>
    <s v="U5746"/>
    <n v="29029.61"/>
    <x v="2"/>
    <x v="0"/>
    <x v="1"/>
    <x v="0"/>
    <n v="914"/>
    <n v="9"/>
    <n v="1"/>
    <n v="1711.27"/>
    <n v="0"/>
    <n v="0.182"/>
    <n v="8"/>
    <x v="1"/>
  </r>
  <r>
    <x v="575"/>
    <s v="U5208"/>
    <n v="44906.63"/>
    <x v="2"/>
    <x v="3"/>
    <x v="1"/>
    <x v="2"/>
    <n v="1844"/>
    <n v="16"/>
    <n v="4"/>
    <n v="435.39"/>
    <n v="0"/>
    <n v="0.16"/>
    <n v="9"/>
    <x v="1"/>
  </r>
  <r>
    <x v="576"/>
    <s v="U9214"/>
    <n v="46355.38"/>
    <x v="0"/>
    <x v="3"/>
    <x v="2"/>
    <x v="0"/>
    <n v="1244"/>
    <n v="0"/>
    <n v="0"/>
    <n v="25619.52"/>
    <n v="0"/>
    <n v="0.65400000000000003"/>
    <n v="6"/>
    <x v="1"/>
  </r>
  <r>
    <x v="577"/>
    <s v="U9458"/>
    <n v="17613.55"/>
    <x v="1"/>
    <x v="0"/>
    <x v="0"/>
    <x v="4"/>
    <n v="1421"/>
    <n v="9"/>
    <n v="4"/>
    <n v="2068.54"/>
    <n v="0"/>
    <n v="0.11799999999999999"/>
    <n v="6"/>
    <x v="1"/>
  </r>
  <r>
    <x v="578"/>
    <s v="U3912"/>
    <n v="24203.11"/>
    <x v="2"/>
    <x v="0"/>
    <x v="0"/>
    <x v="0"/>
    <n v="1599"/>
    <n v="9"/>
    <n v="4"/>
    <n v="24668.35"/>
    <n v="0"/>
    <n v="0.46400000000000002"/>
    <n v="5"/>
    <x v="1"/>
  </r>
  <r>
    <x v="579"/>
    <s v="U8131"/>
    <n v="27533.82"/>
    <x v="1"/>
    <x v="3"/>
    <x v="0"/>
    <x v="1"/>
    <n v="1018"/>
    <n v="16"/>
    <n v="0"/>
    <n v="9689.2000000000007"/>
    <n v="0"/>
    <n v="0.43"/>
    <n v="8"/>
    <x v="1"/>
  </r>
  <r>
    <x v="580"/>
    <s v="U3546"/>
    <n v="2218.46"/>
    <x v="2"/>
    <x v="2"/>
    <x v="1"/>
    <x v="3"/>
    <n v="452"/>
    <n v="15"/>
    <n v="2"/>
    <n v="24129.11"/>
    <n v="0"/>
    <n v="0.39600000000000002"/>
    <n v="8"/>
    <x v="1"/>
  </r>
  <r>
    <x v="581"/>
    <s v="U2316"/>
    <n v="11881.68"/>
    <x v="1"/>
    <x v="1"/>
    <x v="0"/>
    <x v="1"/>
    <n v="1610"/>
    <n v="21"/>
    <n v="1"/>
    <n v="27923.53"/>
    <n v="0"/>
    <n v="6.6000000000000003E-2"/>
    <n v="6"/>
    <x v="1"/>
  </r>
  <r>
    <x v="582"/>
    <s v="U6120"/>
    <n v="41139.589999999997"/>
    <x v="2"/>
    <x v="0"/>
    <x v="2"/>
    <x v="2"/>
    <n v="1404"/>
    <n v="0"/>
    <n v="2"/>
    <n v="16299.66"/>
    <n v="1"/>
    <n v="8.3000000000000004E-2"/>
    <n v="7"/>
    <x v="1"/>
  </r>
  <r>
    <x v="583"/>
    <s v="U7003"/>
    <n v="4830.9399999999996"/>
    <x v="0"/>
    <x v="3"/>
    <x v="0"/>
    <x v="0"/>
    <n v="542"/>
    <n v="6"/>
    <n v="0"/>
    <n v="5537.22"/>
    <n v="0"/>
    <n v="0.42699999999999999"/>
    <n v="4"/>
    <x v="1"/>
  </r>
  <r>
    <x v="584"/>
    <s v="U6034"/>
    <n v="34637.19"/>
    <x v="1"/>
    <x v="2"/>
    <x v="0"/>
    <x v="1"/>
    <n v="451"/>
    <n v="19"/>
    <n v="1"/>
    <n v="28256.73"/>
    <n v="0"/>
    <n v="0.82099999999999995"/>
    <n v="9"/>
    <x v="1"/>
  </r>
  <r>
    <x v="585"/>
    <s v="U5670"/>
    <n v="25977.040000000001"/>
    <x v="0"/>
    <x v="1"/>
    <x v="1"/>
    <x v="1"/>
    <n v="1888"/>
    <n v="20"/>
    <n v="4"/>
    <n v="26774.97"/>
    <n v="0"/>
    <n v="2.5000000000000001E-2"/>
    <n v="6"/>
    <x v="1"/>
  </r>
  <r>
    <x v="586"/>
    <s v="U9448"/>
    <n v="26814.59"/>
    <x v="2"/>
    <x v="2"/>
    <x v="0"/>
    <x v="2"/>
    <n v="1223"/>
    <n v="2"/>
    <n v="1"/>
    <n v="24034.46"/>
    <n v="0"/>
    <n v="0.60099999999999998"/>
    <n v="9"/>
    <x v="1"/>
  </r>
  <r>
    <x v="587"/>
    <s v="U6771"/>
    <n v="11770.37"/>
    <x v="2"/>
    <x v="1"/>
    <x v="2"/>
    <x v="3"/>
    <n v="1689"/>
    <n v="0"/>
    <n v="1"/>
    <n v="22271.13"/>
    <n v="0"/>
    <n v="0.55200000000000005"/>
    <n v="3"/>
    <x v="1"/>
  </r>
  <r>
    <x v="588"/>
    <s v="U8872"/>
    <n v="20178.86"/>
    <x v="0"/>
    <x v="0"/>
    <x v="1"/>
    <x v="1"/>
    <n v="211"/>
    <n v="5"/>
    <n v="1"/>
    <n v="8067.55"/>
    <n v="0"/>
    <n v="0.40400000000000003"/>
    <n v="4"/>
    <x v="1"/>
  </r>
  <r>
    <x v="589"/>
    <s v="U6356"/>
    <n v="8717.5499999999993"/>
    <x v="0"/>
    <x v="3"/>
    <x v="2"/>
    <x v="3"/>
    <n v="1566"/>
    <n v="21"/>
    <n v="4"/>
    <n v="26750.400000000001"/>
    <n v="0"/>
    <n v="0.82399999999999995"/>
    <n v="7"/>
    <x v="1"/>
  </r>
  <r>
    <x v="590"/>
    <s v="U9185"/>
    <n v="43107.62"/>
    <x v="1"/>
    <x v="0"/>
    <x v="1"/>
    <x v="3"/>
    <n v="1490"/>
    <n v="15"/>
    <n v="4"/>
    <n v="22732.34"/>
    <n v="0"/>
    <n v="0.53300000000000003"/>
    <n v="7"/>
    <x v="1"/>
  </r>
  <r>
    <x v="591"/>
    <s v="U6030"/>
    <n v="24378.74"/>
    <x v="2"/>
    <x v="3"/>
    <x v="2"/>
    <x v="0"/>
    <n v="454"/>
    <n v="19"/>
    <n v="4"/>
    <n v="7463.56"/>
    <n v="0"/>
    <n v="0.69499999999999995"/>
    <n v="3"/>
    <x v="1"/>
  </r>
  <r>
    <x v="592"/>
    <s v="U6235"/>
    <n v="6801.56"/>
    <x v="2"/>
    <x v="0"/>
    <x v="0"/>
    <x v="4"/>
    <n v="58"/>
    <n v="19"/>
    <n v="0"/>
    <n v="27405.96"/>
    <n v="0"/>
    <n v="0.70499999999999996"/>
    <n v="2"/>
    <x v="1"/>
  </r>
  <r>
    <x v="593"/>
    <s v="U5461"/>
    <n v="2936.14"/>
    <x v="0"/>
    <x v="0"/>
    <x v="2"/>
    <x v="4"/>
    <n v="1571"/>
    <n v="10"/>
    <n v="0"/>
    <n v="19965.48"/>
    <n v="0"/>
    <n v="0.88200000000000001"/>
    <n v="6"/>
    <x v="1"/>
  </r>
  <r>
    <x v="594"/>
    <s v="U9606"/>
    <n v="6113.18"/>
    <x v="1"/>
    <x v="1"/>
    <x v="0"/>
    <x v="0"/>
    <n v="426"/>
    <n v="9"/>
    <n v="1"/>
    <n v="16834.37"/>
    <n v="0"/>
    <n v="0.216"/>
    <n v="3"/>
    <x v="1"/>
  </r>
  <r>
    <x v="595"/>
    <s v="U2357"/>
    <n v="15347.37"/>
    <x v="2"/>
    <x v="3"/>
    <x v="1"/>
    <x v="3"/>
    <n v="802"/>
    <n v="19"/>
    <n v="3"/>
    <n v="5256.12"/>
    <n v="0"/>
    <n v="0.33"/>
    <n v="5"/>
    <x v="1"/>
  </r>
  <r>
    <x v="596"/>
    <s v="U6512"/>
    <n v="31213.599999999999"/>
    <x v="2"/>
    <x v="0"/>
    <x v="0"/>
    <x v="4"/>
    <n v="1458"/>
    <n v="19"/>
    <n v="0"/>
    <n v="27033.41"/>
    <n v="0"/>
    <n v="0.38"/>
    <n v="7"/>
    <x v="1"/>
  </r>
  <r>
    <x v="597"/>
    <s v="U7488"/>
    <n v="13027.67"/>
    <x v="2"/>
    <x v="1"/>
    <x v="0"/>
    <x v="2"/>
    <n v="1077"/>
    <n v="5"/>
    <n v="2"/>
    <n v="12807.18"/>
    <n v="0"/>
    <n v="0.66400000000000003"/>
    <n v="5"/>
    <x v="1"/>
  </r>
  <r>
    <x v="598"/>
    <s v="U8739"/>
    <n v="12098.01"/>
    <x v="0"/>
    <x v="2"/>
    <x v="2"/>
    <x v="0"/>
    <n v="473"/>
    <n v="22"/>
    <n v="1"/>
    <n v="8307.91"/>
    <n v="0"/>
    <n v="0.85399999999999998"/>
    <n v="3"/>
    <x v="1"/>
  </r>
  <r>
    <x v="599"/>
    <s v="U6207"/>
    <n v="22746.15"/>
    <x v="2"/>
    <x v="2"/>
    <x v="2"/>
    <x v="4"/>
    <n v="24"/>
    <n v="21"/>
    <n v="1"/>
    <n v="17454.009999999998"/>
    <n v="0"/>
    <n v="0.79"/>
    <n v="7"/>
    <x v="1"/>
  </r>
  <r>
    <x v="600"/>
    <s v="U3924"/>
    <n v="23827.11"/>
    <x v="2"/>
    <x v="2"/>
    <x v="1"/>
    <x v="1"/>
    <n v="1257"/>
    <n v="22"/>
    <n v="2"/>
    <n v="16080.23"/>
    <n v="1"/>
    <n v="0.875"/>
    <n v="4"/>
    <x v="1"/>
  </r>
  <r>
    <x v="601"/>
    <s v="U8736"/>
    <n v="12770.8"/>
    <x v="2"/>
    <x v="1"/>
    <x v="2"/>
    <x v="0"/>
    <n v="776"/>
    <n v="11"/>
    <n v="2"/>
    <n v="20320.84"/>
    <n v="0"/>
    <n v="0.21299999999999999"/>
    <n v="8"/>
    <x v="1"/>
  </r>
  <r>
    <x v="602"/>
    <s v="U5989"/>
    <n v="23100.799999999999"/>
    <x v="0"/>
    <x v="0"/>
    <x v="2"/>
    <x v="1"/>
    <n v="414"/>
    <n v="17"/>
    <n v="0"/>
    <n v="9933.2900000000009"/>
    <n v="0"/>
    <n v="0.307"/>
    <n v="4"/>
    <x v="1"/>
  </r>
  <r>
    <x v="603"/>
    <s v="U6533"/>
    <n v="32984.730000000003"/>
    <x v="2"/>
    <x v="0"/>
    <x v="2"/>
    <x v="0"/>
    <n v="716"/>
    <n v="10"/>
    <n v="3"/>
    <n v="25701.49"/>
    <n v="0"/>
    <n v="0.995"/>
    <n v="7"/>
    <x v="1"/>
  </r>
  <r>
    <x v="604"/>
    <s v="U1141"/>
    <n v="44761.13"/>
    <x v="0"/>
    <x v="1"/>
    <x v="2"/>
    <x v="2"/>
    <n v="938"/>
    <n v="4"/>
    <n v="1"/>
    <n v="11311.06"/>
    <n v="0"/>
    <n v="0.313"/>
    <n v="1"/>
    <x v="1"/>
  </r>
  <r>
    <x v="605"/>
    <s v="U7281"/>
    <n v="30715.98"/>
    <x v="2"/>
    <x v="3"/>
    <x v="0"/>
    <x v="0"/>
    <n v="1436"/>
    <n v="6"/>
    <n v="1"/>
    <n v="6589.22"/>
    <n v="0"/>
    <n v="0.98399999999999999"/>
    <n v="3"/>
    <x v="1"/>
  </r>
  <r>
    <x v="606"/>
    <s v="U2611"/>
    <n v="38472.699999999997"/>
    <x v="2"/>
    <x v="1"/>
    <x v="2"/>
    <x v="3"/>
    <n v="1743"/>
    <n v="4"/>
    <n v="2"/>
    <n v="20919.919999999998"/>
    <n v="0"/>
    <n v="0.29499999999999998"/>
    <n v="5"/>
    <x v="1"/>
  </r>
  <r>
    <x v="607"/>
    <s v="U9701"/>
    <n v="48426.01"/>
    <x v="1"/>
    <x v="2"/>
    <x v="1"/>
    <x v="4"/>
    <n v="1459"/>
    <n v="21"/>
    <n v="1"/>
    <n v="6088.06"/>
    <n v="0"/>
    <n v="0.49299999999999999"/>
    <n v="4"/>
    <x v="1"/>
  </r>
  <r>
    <x v="608"/>
    <s v="U7573"/>
    <n v="48999.519999999997"/>
    <x v="1"/>
    <x v="0"/>
    <x v="1"/>
    <x v="0"/>
    <n v="844"/>
    <n v="22"/>
    <n v="2"/>
    <n v="27016.959999999999"/>
    <n v="0"/>
    <n v="0.55000000000000004"/>
    <n v="4"/>
    <x v="1"/>
  </r>
  <r>
    <x v="609"/>
    <s v="U8065"/>
    <n v="16946.46"/>
    <x v="2"/>
    <x v="0"/>
    <x v="1"/>
    <x v="0"/>
    <n v="275"/>
    <n v="6"/>
    <n v="1"/>
    <n v="7584.47"/>
    <n v="0"/>
    <n v="0.68300000000000005"/>
    <n v="5"/>
    <x v="1"/>
  </r>
  <r>
    <x v="610"/>
    <s v="U1585"/>
    <n v="47156.639999999999"/>
    <x v="0"/>
    <x v="3"/>
    <x v="2"/>
    <x v="3"/>
    <n v="1082"/>
    <n v="6"/>
    <n v="1"/>
    <n v="13608.63"/>
    <n v="0"/>
    <n v="0.39500000000000002"/>
    <n v="4"/>
    <x v="1"/>
  </r>
  <r>
    <x v="611"/>
    <s v="U4230"/>
    <n v="14331.04"/>
    <x v="2"/>
    <x v="1"/>
    <x v="1"/>
    <x v="3"/>
    <n v="1105"/>
    <n v="15"/>
    <n v="2"/>
    <n v="4167.05"/>
    <n v="0"/>
    <n v="0.46899999999999997"/>
    <n v="1"/>
    <x v="1"/>
  </r>
  <r>
    <x v="612"/>
    <s v="U9356"/>
    <n v="12649.44"/>
    <x v="2"/>
    <x v="1"/>
    <x v="0"/>
    <x v="3"/>
    <n v="1005"/>
    <n v="19"/>
    <n v="4"/>
    <n v="14278.75"/>
    <n v="0"/>
    <n v="0.91600000000000004"/>
    <n v="6"/>
    <x v="1"/>
  </r>
  <r>
    <x v="613"/>
    <s v="U1243"/>
    <n v="32825.279999999999"/>
    <x v="2"/>
    <x v="3"/>
    <x v="0"/>
    <x v="2"/>
    <n v="166"/>
    <n v="13"/>
    <n v="4"/>
    <n v="22584.02"/>
    <n v="0"/>
    <n v="0.44"/>
    <n v="7"/>
    <x v="1"/>
  </r>
  <r>
    <x v="614"/>
    <s v="U6960"/>
    <n v="30818.47"/>
    <x v="1"/>
    <x v="0"/>
    <x v="1"/>
    <x v="3"/>
    <n v="491"/>
    <n v="19"/>
    <n v="0"/>
    <n v="5204.1099999999997"/>
    <n v="0"/>
    <n v="0.377"/>
    <n v="2"/>
    <x v="1"/>
  </r>
  <r>
    <x v="615"/>
    <s v="U9847"/>
    <n v="7486.96"/>
    <x v="1"/>
    <x v="2"/>
    <x v="2"/>
    <x v="1"/>
    <n v="528"/>
    <n v="3"/>
    <n v="3"/>
    <n v="17518.55"/>
    <n v="0"/>
    <n v="0.81299999999999994"/>
    <n v="9"/>
    <x v="1"/>
  </r>
  <r>
    <x v="616"/>
    <s v="U8020"/>
    <n v="18447.060000000001"/>
    <x v="0"/>
    <x v="3"/>
    <x v="0"/>
    <x v="3"/>
    <n v="1867"/>
    <n v="14"/>
    <n v="3"/>
    <n v="29624.75"/>
    <n v="0"/>
    <n v="0.96599999999999997"/>
    <n v="3"/>
    <x v="1"/>
  </r>
  <r>
    <x v="617"/>
    <s v="U1872"/>
    <n v="22458.1"/>
    <x v="0"/>
    <x v="0"/>
    <x v="0"/>
    <x v="4"/>
    <n v="1069"/>
    <n v="4"/>
    <n v="0"/>
    <n v="17564.09"/>
    <n v="0"/>
    <n v="0.221"/>
    <n v="1"/>
    <x v="1"/>
  </r>
  <r>
    <x v="618"/>
    <s v="U8513"/>
    <n v="41261.22"/>
    <x v="2"/>
    <x v="3"/>
    <x v="1"/>
    <x v="4"/>
    <n v="1213"/>
    <n v="3"/>
    <n v="4"/>
    <n v="6720.39"/>
    <n v="0"/>
    <n v="0.92300000000000004"/>
    <n v="4"/>
    <x v="1"/>
  </r>
  <r>
    <x v="619"/>
    <s v="U7190"/>
    <n v="24937.87"/>
    <x v="0"/>
    <x v="2"/>
    <x v="2"/>
    <x v="3"/>
    <n v="967"/>
    <n v="4"/>
    <n v="2"/>
    <n v="27905.75"/>
    <n v="0"/>
    <n v="0.38100000000000001"/>
    <n v="7"/>
    <x v="1"/>
  </r>
  <r>
    <x v="620"/>
    <s v="U3886"/>
    <n v="12514.83"/>
    <x v="2"/>
    <x v="3"/>
    <x v="2"/>
    <x v="2"/>
    <n v="1945"/>
    <n v="13"/>
    <n v="4"/>
    <n v="18480.04"/>
    <n v="0"/>
    <n v="0.54"/>
    <n v="2"/>
    <x v="1"/>
  </r>
  <r>
    <x v="621"/>
    <s v="U1810"/>
    <n v="38846.69"/>
    <x v="1"/>
    <x v="3"/>
    <x v="2"/>
    <x v="1"/>
    <n v="1610"/>
    <n v="2"/>
    <n v="2"/>
    <n v="2163.67"/>
    <n v="0"/>
    <n v="0.19400000000000001"/>
    <n v="6"/>
    <x v="1"/>
  </r>
  <r>
    <x v="622"/>
    <s v="U1157"/>
    <n v="20584.23"/>
    <x v="1"/>
    <x v="0"/>
    <x v="2"/>
    <x v="2"/>
    <n v="1643"/>
    <n v="2"/>
    <n v="4"/>
    <n v="16019.39"/>
    <n v="0"/>
    <n v="0.60899999999999999"/>
    <n v="8"/>
    <x v="1"/>
  </r>
  <r>
    <x v="623"/>
    <s v="U3879"/>
    <n v="48171.55"/>
    <x v="1"/>
    <x v="0"/>
    <x v="1"/>
    <x v="0"/>
    <n v="152"/>
    <n v="8"/>
    <n v="3"/>
    <n v="2121.88"/>
    <n v="0"/>
    <n v="3.0000000000000001E-3"/>
    <n v="9"/>
    <x v="1"/>
  </r>
  <r>
    <x v="624"/>
    <s v="U1695"/>
    <n v="2660.28"/>
    <x v="0"/>
    <x v="2"/>
    <x v="1"/>
    <x v="0"/>
    <n v="63"/>
    <n v="4"/>
    <n v="2"/>
    <n v="25695.19"/>
    <n v="0"/>
    <n v="0.16900000000000001"/>
    <n v="6"/>
    <x v="1"/>
  </r>
  <r>
    <x v="625"/>
    <s v="U1816"/>
    <n v="17507.84"/>
    <x v="1"/>
    <x v="1"/>
    <x v="1"/>
    <x v="2"/>
    <n v="850"/>
    <n v="1"/>
    <n v="3"/>
    <n v="8328.8799999999992"/>
    <n v="0"/>
    <n v="0.80300000000000005"/>
    <n v="2"/>
    <x v="1"/>
  </r>
  <r>
    <x v="626"/>
    <s v="U5367"/>
    <n v="35406.36"/>
    <x v="1"/>
    <x v="0"/>
    <x v="1"/>
    <x v="4"/>
    <n v="1261"/>
    <n v="3"/>
    <n v="4"/>
    <n v="26019.54"/>
    <n v="0"/>
    <n v="0.34300000000000003"/>
    <n v="6"/>
    <x v="1"/>
  </r>
  <r>
    <x v="627"/>
    <s v="U8193"/>
    <n v="24260.58"/>
    <x v="2"/>
    <x v="1"/>
    <x v="2"/>
    <x v="0"/>
    <n v="1793"/>
    <n v="4"/>
    <n v="3"/>
    <n v="21019.19"/>
    <n v="0"/>
    <n v="0.51"/>
    <n v="5"/>
    <x v="1"/>
  </r>
  <r>
    <x v="628"/>
    <s v="U5739"/>
    <n v="16544.240000000002"/>
    <x v="0"/>
    <x v="2"/>
    <x v="2"/>
    <x v="2"/>
    <n v="853"/>
    <n v="19"/>
    <n v="3"/>
    <n v="27289.040000000001"/>
    <n v="0"/>
    <n v="0.62"/>
    <n v="5"/>
    <x v="1"/>
  </r>
  <r>
    <x v="629"/>
    <s v="U6516"/>
    <n v="3306.97"/>
    <x v="1"/>
    <x v="3"/>
    <x v="1"/>
    <x v="0"/>
    <n v="446"/>
    <n v="3"/>
    <n v="4"/>
    <n v="11115.02"/>
    <n v="1"/>
    <n v="0.72099999999999997"/>
    <n v="7"/>
    <x v="1"/>
  </r>
  <r>
    <x v="630"/>
    <s v="U4917"/>
    <n v="4219.03"/>
    <x v="1"/>
    <x v="0"/>
    <x v="2"/>
    <x v="2"/>
    <n v="1597"/>
    <n v="15"/>
    <n v="4"/>
    <n v="7634.27"/>
    <n v="0"/>
    <n v="0.89300000000000002"/>
    <n v="1"/>
    <x v="1"/>
  </r>
  <r>
    <x v="631"/>
    <s v="U3338"/>
    <n v="5076.84"/>
    <x v="2"/>
    <x v="0"/>
    <x v="0"/>
    <x v="3"/>
    <n v="953"/>
    <n v="14"/>
    <n v="3"/>
    <n v="21387.57"/>
    <n v="0"/>
    <n v="0.69399999999999995"/>
    <n v="7"/>
    <x v="1"/>
  </r>
  <r>
    <x v="632"/>
    <s v="U5597"/>
    <n v="7141.5"/>
    <x v="0"/>
    <x v="0"/>
    <x v="0"/>
    <x v="0"/>
    <n v="242"/>
    <n v="10"/>
    <n v="4"/>
    <n v="5253.1"/>
    <n v="0"/>
    <n v="0.60599999999999998"/>
    <n v="7"/>
    <x v="1"/>
  </r>
  <r>
    <x v="633"/>
    <s v="U9756"/>
    <n v="23590.79"/>
    <x v="1"/>
    <x v="1"/>
    <x v="2"/>
    <x v="4"/>
    <n v="1981"/>
    <n v="14"/>
    <n v="1"/>
    <n v="6286.42"/>
    <n v="0"/>
    <n v="0.22700000000000001"/>
    <n v="8"/>
    <x v="1"/>
  </r>
  <r>
    <x v="634"/>
    <s v="U6942"/>
    <n v="42794.080000000002"/>
    <x v="0"/>
    <x v="3"/>
    <x v="0"/>
    <x v="4"/>
    <n v="1854"/>
    <n v="18"/>
    <n v="2"/>
    <n v="16752.169999999998"/>
    <n v="0"/>
    <n v="0.497"/>
    <n v="6"/>
    <x v="1"/>
  </r>
  <r>
    <x v="635"/>
    <s v="U5139"/>
    <n v="45364.39"/>
    <x v="2"/>
    <x v="2"/>
    <x v="1"/>
    <x v="2"/>
    <n v="1216"/>
    <n v="22"/>
    <n v="3"/>
    <n v="16859.240000000002"/>
    <n v="0"/>
    <n v="0.89500000000000002"/>
    <n v="5"/>
    <x v="1"/>
  </r>
  <r>
    <x v="636"/>
    <s v="U4607"/>
    <n v="14646.3"/>
    <x v="0"/>
    <x v="2"/>
    <x v="1"/>
    <x v="4"/>
    <n v="20"/>
    <n v="10"/>
    <n v="4"/>
    <n v="9852.2900000000009"/>
    <n v="0"/>
    <n v="0.71"/>
    <n v="2"/>
    <x v="1"/>
  </r>
  <r>
    <x v="637"/>
    <s v="U9807"/>
    <n v="48142.38"/>
    <x v="2"/>
    <x v="3"/>
    <x v="0"/>
    <x v="4"/>
    <n v="1639"/>
    <n v="6"/>
    <n v="3"/>
    <n v="21466.79"/>
    <n v="0"/>
    <n v="0.54600000000000004"/>
    <n v="6"/>
    <x v="1"/>
  </r>
  <r>
    <x v="638"/>
    <s v="U3606"/>
    <n v="29605.27"/>
    <x v="2"/>
    <x v="1"/>
    <x v="1"/>
    <x v="0"/>
    <n v="1738"/>
    <n v="11"/>
    <n v="0"/>
    <n v="1467.67"/>
    <n v="0"/>
    <n v="0.27300000000000002"/>
    <n v="9"/>
    <x v="1"/>
  </r>
  <r>
    <x v="639"/>
    <s v="U1017"/>
    <n v="14709.77"/>
    <x v="0"/>
    <x v="2"/>
    <x v="2"/>
    <x v="0"/>
    <n v="1106"/>
    <n v="9"/>
    <n v="0"/>
    <n v="28962"/>
    <n v="0"/>
    <n v="0.27100000000000002"/>
    <n v="5"/>
    <x v="1"/>
  </r>
  <r>
    <x v="640"/>
    <s v="U3266"/>
    <n v="17293.900000000001"/>
    <x v="0"/>
    <x v="1"/>
    <x v="2"/>
    <x v="0"/>
    <n v="804"/>
    <n v="10"/>
    <n v="2"/>
    <n v="16979.12"/>
    <n v="0"/>
    <n v="0.54"/>
    <n v="6"/>
    <x v="1"/>
  </r>
  <r>
    <x v="641"/>
    <s v="U3256"/>
    <n v="33445.199999999997"/>
    <x v="0"/>
    <x v="3"/>
    <x v="2"/>
    <x v="0"/>
    <n v="1572"/>
    <n v="17"/>
    <n v="0"/>
    <n v="11418.19"/>
    <n v="0"/>
    <n v="0.503"/>
    <n v="8"/>
    <x v="1"/>
  </r>
  <r>
    <x v="642"/>
    <s v="U5812"/>
    <n v="36472.22"/>
    <x v="2"/>
    <x v="3"/>
    <x v="1"/>
    <x v="3"/>
    <n v="833"/>
    <n v="9"/>
    <n v="3"/>
    <n v="26827.94"/>
    <n v="0"/>
    <n v="0.90100000000000002"/>
    <n v="2"/>
    <x v="1"/>
  </r>
  <r>
    <x v="643"/>
    <s v="U1792"/>
    <n v="1596.24"/>
    <x v="1"/>
    <x v="1"/>
    <x v="1"/>
    <x v="1"/>
    <n v="1360"/>
    <n v="5"/>
    <n v="4"/>
    <n v="20898.32"/>
    <n v="0"/>
    <n v="0.52600000000000002"/>
    <n v="1"/>
    <x v="1"/>
  </r>
  <r>
    <x v="644"/>
    <s v="U4991"/>
    <n v="13003.78"/>
    <x v="0"/>
    <x v="2"/>
    <x v="2"/>
    <x v="4"/>
    <n v="1924"/>
    <n v="7"/>
    <n v="0"/>
    <n v="835.99"/>
    <n v="0"/>
    <n v="0.96699999999999997"/>
    <n v="1"/>
    <x v="1"/>
  </r>
  <r>
    <x v="645"/>
    <s v="U6616"/>
    <n v="13548.87"/>
    <x v="2"/>
    <x v="2"/>
    <x v="1"/>
    <x v="2"/>
    <n v="477"/>
    <n v="18"/>
    <n v="1"/>
    <n v="7418.36"/>
    <n v="0"/>
    <n v="7.0000000000000001E-3"/>
    <n v="4"/>
    <x v="1"/>
  </r>
  <r>
    <x v="646"/>
    <s v="U3669"/>
    <n v="31330.400000000001"/>
    <x v="2"/>
    <x v="2"/>
    <x v="1"/>
    <x v="2"/>
    <n v="377"/>
    <n v="1"/>
    <n v="0"/>
    <n v="24134.46"/>
    <n v="0"/>
    <n v="0.14399999999999999"/>
    <n v="9"/>
    <x v="1"/>
  </r>
  <r>
    <x v="647"/>
    <s v="U3222"/>
    <n v="34641.99"/>
    <x v="2"/>
    <x v="1"/>
    <x v="2"/>
    <x v="4"/>
    <n v="481"/>
    <n v="3"/>
    <n v="4"/>
    <n v="18580.37"/>
    <n v="0"/>
    <n v="0.38700000000000001"/>
    <n v="1"/>
    <x v="1"/>
  </r>
  <r>
    <x v="648"/>
    <s v="U4084"/>
    <n v="15004.81"/>
    <x v="0"/>
    <x v="0"/>
    <x v="0"/>
    <x v="1"/>
    <n v="1448"/>
    <n v="0"/>
    <n v="2"/>
    <n v="25371.77"/>
    <n v="0"/>
    <n v="0.64400000000000002"/>
    <n v="6"/>
    <x v="1"/>
  </r>
  <r>
    <x v="649"/>
    <s v="U1840"/>
    <n v="49891.15"/>
    <x v="0"/>
    <x v="3"/>
    <x v="2"/>
    <x v="3"/>
    <n v="1675"/>
    <n v="2"/>
    <n v="0"/>
    <n v="9528.0400000000009"/>
    <n v="0"/>
    <n v="0.81299999999999994"/>
    <n v="9"/>
    <x v="1"/>
  </r>
  <r>
    <x v="650"/>
    <s v="U7014"/>
    <n v="17473.59"/>
    <x v="1"/>
    <x v="1"/>
    <x v="0"/>
    <x v="1"/>
    <n v="1827"/>
    <n v="1"/>
    <n v="0"/>
    <n v="20869.95"/>
    <n v="0"/>
    <n v="0.78600000000000003"/>
    <n v="1"/>
    <x v="1"/>
  </r>
  <r>
    <x v="651"/>
    <s v="U5910"/>
    <n v="48950.11"/>
    <x v="0"/>
    <x v="2"/>
    <x v="1"/>
    <x v="4"/>
    <n v="1863"/>
    <n v="13"/>
    <n v="2"/>
    <n v="27843.86"/>
    <n v="0"/>
    <n v="0.50800000000000001"/>
    <n v="6"/>
    <x v="1"/>
  </r>
  <r>
    <x v="652"/>
    <s v="U1188"/>
    <n v="27647.42"/>
    <x v="0"/>
    <x v="0"/>
    <x v="0"/>
    <x v="0"/>
    <n v="1786"/>
    <n v="23"/>
    <n v="2"/>
    <n v="10228.68"/>
    <n v="0"/>
    <n v="0.192"/>
    <n v="7"/>
    <x v="1"/>
  </r>
  <r>
    <x v="653"/>
    <s v="U5557"/>
    <n v="2763.89"/>
    <x v="0"/>
    <x v="2"/>
    <x v="0"/>
    <x v="1"/>
    <n v="94"/>
    <n v="0"/>
    <n v="0"/>
    <n v="9938.64"/>
    <n v="0"/>
    <n v="0.27200000000000002"/>
    <n v="1"/>
    <x v="1"/>
  </r>
  <r>
    <x v="654"/>
    <s v="U7839"/>
    <n v="22912.1"/>
    <x v="1"/>
    <x v="2"/>
    <x v="0"/>
    <x v="2"/>
    <n v="1890"/>
    <n v="13"/>
    <n v="0"/>
    <n v="1816.46"/>
    <n v="0"/>
    <n v="0.96599999999999997"/>
    <n v="9"/>
    <x v="1"/>
  </r>
  <r>
    <x v="655"/>
    <s v="U7367"/>
    <n v="20854.400000000001"/>
    <x v="1"/>
    <x v="0"/>
    <x v="0"/>
    <x v="0"/>
    <n v="161"/>
    <n v="11"/>
    <n v="3"/>
    <n v="28258.67"/>
    <n v="0"/>
    <n v="0.73699999999999999"/>
    <n v="5"/>
    <x v="1"/>
  </r>
  <r>
    <x v="656"/>
    <s v="U2653"/>
    <n v="30407.22"/>
    <x v="1"/>
    <x v="1"/>
    <x v="2"/>
    <x v="2"/>
    <n v="1210"/>
    <n v="22"/>
    <n v="2"/>
    <n v="15208.23"/>
    <n v="0"/>
    <n v="0.19700000000000001"/>
    <n v="5"/>
    <x v="1"/>
  </r>
  <r>
    <x v="657"/>
    <s v="U5309"/>
    <n v="18420.91"/>
    <x v="1"/>
    <x v="0"/>
    <x v="2"/>
    <x v="3"/>
    <n v="564"/>
    <n v="0"/>
    <n v="2"/>
    <n v="10568.15"/>
    <n v="0"/>
    <n v="0.20499999999999999"/>
    <n v="6"/>
    <x v="1"/>
  </r>
  <r>
    <x v="658"/>
    <s v="U2765"/>
    <n v="16900.41"/>
    <x v="1"/>
    <x v="0"/>
    <x v="2"/>
    <x v="3"/>
    <n v="1313"/>
    <n v="11"/>
    <n v="0"/>
    <n v="25075.85"/>
    <n v="0"/>
    <n v="0.106"/>
    <n v="8"/>
    <x v="1"/>
  </r>
  <r>
    <x v="659"/>
    <s v="U5688"/>
    <n v="29776.83"/>
    <x v="2"/>
    <x v="2"/>
    <x v="0"/>
    <x v="4"/>
    <n v="1835"/>
    <n v="16"/>
    <n v="4"/>
    <n v="14941.03"/>
    <n v="0"/>
    <n v="0.91900000000000004"/>
    <n v="2"/>
    <x v="1"/>
  </r>
  <r>
    <x v="660"/>
    <s v="U7243"/>
    <n v="2939.33"/>
    <x v="1"/>
    <x v="3"/>
    <x v="1"/>
    <x v="2"/>
    <n v="1333"/>
    <n v="16"/>
    <n v="4"/>
    <n v="20177.41"/>
    <n v="0"/>
    <n v="0.34799999999999998"/>
    <n v="8"/>
    <x v="1"/>
  </r>
  <r>
    <x v="661"/>
    <s v="U5995"/>
    <n v="45878.42"/>
    <x v="0"/>
    <x v="2"/>
    <x v="2"/>
    <x v="2"/>
    <n v="1698"/>
    <n v="6"/>
    <n v="4"/>
    <n v="7173.28"/>
    <n v="0"/>
    <n v="0.93899999999999995"/>
    <n v="1"/>
    <x v="1"/>
  </r>
  <r>
    <x v="662"/>
    <s v="U2186"/>
    <n v="33997.040000000001"/>
    <x v="0"/>
    <x v="1"/>
    <x v="2"/>
    <x v="1"/>
    <n v="1830"/>
    <n v="1"/>
    <n v="4"/>
    <n v="24564.61"/>
    <n v="0"/>
    <n v="0.88400000000000001"/>
    <n v="7"/>
    <x v="1"/>
  </r>
  <r>
    <x v="663"/>
    <s v="U4565"/>
    <n v="49060.57"/>
    <x v="2"/>
    <x v="0"/>
    <x v="2"/>
    <x v="2"/>
    <n v="1860"/>
    <n v="11"/>
    <n v="3"/>
    <n v="5691.28"/>
    <n v="0"/>
    <n v="0.38600000000000001"/>
    <n v="8"/>
    <x v="1"/>
  </r>
  <r>
    <x v="664"/>
    <s v="U6546"/>
    <n v="12136.76"/>
    <x v="2"/>
    <x v="3"/>
    <x v="0"/>
    <x v="3"/>
    <n v="221"/>
    <n v="9"/>
    <n v="0"/>
    <n v="15046.83"/>
    <n v="0"/>
    <n v="0.97"/>
    <n v="5"/>
    <x v="1"/>
  </r>
  <r>
    <x v="665"/>
    <s v="U2003"/>
    <n v="9886.44"/>
    <x v="2"/>
    <x v="1"/>
    <x v="2"/>
    <x v="1"/>
    <n v="860"/>
    <n v="4"/>
    <n v="2"/>
    <n v="16044.65"/>
    <n v="0"/>
    <n v="0.222"/>
    <n v="2"/>
    <x v="1"/>
  </r>
  <r>
    <x v="666"/>
    <s v="U6885"/>
    <n v="47573.919999999998"/>
    <x v="2"/>
    <x v="2"/>
    <x v="1"/>
    <x v="1"/>
    <n v="887"/>
    <n v="2"/>
    <n v="4"/>
    <n v="13400.15"/>
    <n v="0"/>
    <n v="0.63400000000000001"/>
    <n v="3"/>
    <x v="1"/>
  </r>
  <r>
    <x v="667"/>
    <s v="U8908"/>
    <n v="47187.89"/>
    <x v="1"/>
    <x v="1"/>
    <x v="0"/>
    <x v="1"/>
    <n v="1576"/>
    <n v="20"/>
    <n v="4"/>
    <n v="28645.06"/>
    <n v="0"/>
    <n v="0.876"/>
    <n v="4"/>
    <x v="1"/>
  </r>
  <r>
    <x v="668"/>
    <s v="U7114"/>
    <n v="31736.47"/>
    <x v="2"/>
    <x v="0"/>
    <x v="0"/>
    <x v="0"/>
    <n v="1224"/>
    <n v="15"/>
    <n v="0"/>
    <n v="29782.45"/>
    <n v="0"/>
    <n v="0.622"/>
    <n v="9"/>
    <x v="1"/>
  </r>
  <r>
    <x v="669"/>
    <s v="U3993"/>
    <n v="25322.6"/>
    <x v="1"/>
    <x v="0"/>
    <x v="2"/>
    <x v="2"/>
    <n v="887"/>
    <n v="21"/>
    <n v="3"/>
    <n v="22093.75"/>
    <n v="0"/>
    <n v="0.90400000000000003"/>
    <n v="3"/>
    <x v="1"/>
  </r>
  <r>
    <x v="670"/>
    <s v="U9436"/>
    <n v="1994.55"/>
    <x v="1"/>
    <x v="0"/>
    <x v="2"/>
    <x v="2"/>
    <n v="1596"/>
    <n v="21"/>
    <n v="0"/>
    <n v="1127.6099999999999"/>
    <n v="0"/>
    <n v="0.66100000000000003"/>
    <n v="6"/>
    <x v="1"/>
  </r>
  <r>
    <x v="671"/>
    <s v="U6590"/>
    <n v="42758.76"/>
    <x v="0"/>
    <x v="1"/>
    <x v="2"/>
    <x v="3"/>
    <n v="1861"/>
    <n v="12"/>
    <n v="1"/>
    <n v="24393.91"/>
    <n v="0"/>
    <n v="0.371"/>
    <n v="2"/>
    <x v="1"/>
  </r>
  <r>
    <x v="672"/>
    <s v="U9676"/>
    <n v="36480.769999999997"/>
    <x v="0"/>
    <x v="1"/>
    <x v="0"/>
    <x v="4"/>
    <n v="1111"/>
    <n v="2"/>
    <n v="3"/>
    <n v="14496.41"/>
    <n v="0"/>
    <n v="0.39700000000000002"/>
    <n v="4"/>
    <x v="1"/>
  </r>
  <r>
    <x v="673"/>
    <s v="U3108"/>
    <n v="29552.36"/>
    <x v="1"/>
    <x v="1"/>
    <x v="2"/>
    <x v="4"/>
    <n v="1830"/>
    <n v="7"/>
    <n v="0"/>
    <n v="3631.79"/>
    <n v="0"/>
    <n v="0.89500000000000002"/>
    <n v="8"/>
    <x v="1"/>
  </r>
  <r>
    <x v="674"/>
    <s v="U2829"/>
    <n v="5170.67"/>
    <x v="2"/>
    <x v="2"/>
    <x v="0"/>
    <x v="4"/>
    <n v="662"/>
    <n v="14"/>
    <n v="0"/>
    <n v="4236.3500000000004"/>
    <n v="0"/>
    <n v="0.874"/>
    <n v="3"/>
    <x v="1"/>
  </r>
  <r>
    <x v="675"/>
    <s v="U1322"/>
    <n v="35936.769999999997"/>
    <x v="1"/>
    <x v="0"/>
    <x v="2"/>
    <x v="0"/>
    <n v="316"/>
    <n v="14"/>
    <n v="4"/>
    <n v="24828.36"/>
    <n v="0"/>
    <n v="0.59499999999999997"/>
    <n v="2"/>
    <x v="1"/>
  </r>
  <r>
    <x v="676"/>
    <s v="U4915"/>
    <n v="27465.49"/>
    <x v="2"/>
    <x v="2"/>
    <x v="1"/>
    <x v="1"/>
    <n v="517"/>
    <n v="22"/>
    <n v="2"/>
    <n v="14021.21"/>
    <n v="0"/>
    <n v="4.8000000000000001E-2"/>
    <n v="5"/>
    <x v="1"/>
  </r>
  <r>
    <x v="677"/>
    <s v="U7332"/>
    <n v="33590.379999999997"/>
    <x v="2"/>
    <x v="2"/>
    <x v="1"/>
    <x v="3"/>
    <n v="371"/>
    <n v="1"/>
    <n v="0"/>
    <n v="9474.35"/>
    <n v="0"/>
    <n v="0.495"/>
    <n v="9"/>
    <x v="1"/>
  </r>
  <r>
    <x v="678"/>
    <s v="U7066"/>
    <n v="9009.27"/>
    <x v="2"/>
    <x v="0"/>
    <x v="1"/>
    <x v="0"/>
    <n v="461"/>
    <n v="0"/>
    <n v="1"/>
    <n v="29330.22"/>
    <n v="0"/>
    <n v="0.93300000000000005"/>
    <n v="5"/>
    <x v="1"/>
  </r>
  <r>
    <x v="679"/>
    <s v="U4131"/>
    <n v="48535.29"/>
    <x v="1"/>
    <x v="1"/>
    <x v="1"/>
    <x v="0"/>
    <n v="1413"/>
    <n v="20"/>
    <n v="1"/>
    <n v="3892.77"/>
    <n v="0"/>
    <n v="0.56299999999999994"/>
    <n v="5"/>
    <x v="1"/>
  </r>
  <r>
    <x v="680"/>
    <s v="U6350"/>
    <n v="4648.75"/>
    <x v="2"/>
    <x v="0"/>
    <x v="0"/>
    <x v="1"/>
    <n v="1505"/>
    <n v="12"/>
    <n v="1"/>
    <n v="23260.74"/>
    <n v="0"/>
    <n v="0.58399999999999996"/>
    <n v="4"/>
    <x v="1"/>
  </r>
  <r>
    <x v="681"/>
    <s v="U6233"/>
    <n v="33817.51"/>
    <x v="0"/>
    <x v="0"/>
    <x v="2"/>
    <x v="3"/>
    <n v="725"/>
    <n v="4"/>
    <n v="2"/>
    <n v="7280.79"/>
    <n v="0"/>
    <n v="0.20599999999999999"/>
    <n v="6"/>
    <x v="1"/>
  </r>
  <r>
    <x v="682"/>
    <s v="U7239"/>
    <n v="7783.69"/>
    <x v="1"/>
    <x v="1"/>
    <x v="2"/>
    <x v="1"/>
    <n v="915"/>
    <n v="8"/>
    <n v="0"/>
    <n v="16618.66"/>
    <n v="0"/>
    <n v="0.19800000000000001"/>
    <n v="3"/>
    <x v="1"/>
  </r>
  <r>
    <x v="683"/>
    <s v="U3579"/>
    <n v="29399.91"/>
    <x v="0"/>
    <x v="2"/>
    <x v="0"/>
    <x v="3"/>
    <n v="642"/>
    <n v="3"/>
    <n v="2"/>
    <n v="26511.93"/>
    <n v="0"/>
    <n v="0.59199999999999997"/>
    <n v="1"/>
    <x v="1"/>
  </r>
  <r>
    <x v="684"/>
    <s v="U5969"/>
    <n v="20437.18"/>
    <x v="0"/>
    <x v="0"/>
    <x v="2"/>
    <x v="1"/>
    <n v="1944"/>
    <n v="14"/>
    <n v="4"/>
    <n v="2284.09"/>
    <n v="0"/>
    <n v="0.86799999999999999"/>
    <n v="1"/>
    <x v="1"/>
  </r>
  <r>
    <x v="685"/>
    <s v="U3811"/>
    <n v="41998.09"/>
    <x v="2"/>
    <x v="2"/>
    <x v="2"/>
    <x v="4"/>
    <n v="763"/>
    <n v="12"/>
    <n v="0"/>
    <n v="22958.29"/>
    <n v="0"/>
    <n v="0.96699999999999997"/>
    <n v="8"/>
    <x v="1"/>
  </r>
  <r>
    <x v="686"/>
    <s v="U5070"/>
    <n v="4676.6400000000003"/>
    <x v="0"/>
    <x v="3"/>
    <x v="2"/>
    <x v="1"/>
    <n v="1074"/>
    <n v="18"/>
    <n v="0"/>
    <n v="769.67"/>
    <n v="0"/>
    <n v="0.64200000000000002"/>
    <n v="9"/>
    <x v="1"/>
  </r>
  <r>
    <x v="687"/>
    <s v="U5794"/>
    <n v="26939.68"/>
    <x v="0"/>
    <x v="3"/>
    <x v="2"/>
    <x v="4"/>
    <n v="224"/>
    <n v="19"/>
    <n v="3"/>
    <n v="1819.43"/>
    <n v="0"/>
    <n v="0.82"/>
    <n v="8"/>
    <x v="1"/>
  </r>
  <r>
    <x v="688"/>
    <s v="U4242"/>
    <n v="31530.85"/>
    <x v="1"/>
    <x v="3"/>
    <x v="1"/>
    <x v="4"/>
    <n v="1355"/>
    <n v="23"/>
    <n v="3"/>
    <n v="22738.26"/>
    <n v="0"/>
    <n v="0.46300000000000002"/>
    <n v="9"/>
    <x v="1"/>
  </r>
  <r>
    <x v="689"/>
    <s v="U2405"/>
    <n v="35287.769999999997"/>
    <x v="1"/>
    <x v="2"/>
    <x v="1"/>
    <x v="3"/>
    <n v="846"/>
    <n v="13"/>
    <n v="0"/>
    <n v="29308.880000000001"/>
    <n v="0"/>
    <n v="1.7000000000000001E-2"/>
    <n v="1"/>
    <x v="1"/>
  </r>
  <r>
    <x v="690"/>
    <s v="U3263"/>
    <n v="42945.279999999999"/>
    <x v="0"/>
    <x v="2"/>
    <x v="1"/>
    <x v="1"/>
    <n v="1937"/>
    <n v="19"/>
    <n v="0"/>
    <n v="5525.26"/>
    <n v="0"/>
    <n v="0.23899999999999999"/>
    <n v="6"/>
    <x v="1"/>
  </r>
  <r>
    <x v="691"/>
    <s v="U2384"/>
    <n v="25985.27"/>
    <x v="2"/>
    <x v="0"/>
    <x v="1"/>
    <x v="3"/>
    <n v="1529"/>
    <n v="23"/>
    <n v="2"/>
    <n v="11727.47"/>
    <n v="0"/>
    <n v="0.307"/>
    <n v="6"/>
    <x v="1"/>
  </r>
  <r>
    <x v="692"/>
    <s v="U2205"/>
    <n v="11748.46"/>
    <x v="1"/>
    <x v="2"/>
    <x v="2"/>
    <x v="3"/>
    <n v="1158"/>
    <n v="14"/>
    <n v="0"/>
    <n v="5889.6"/>
    <n v="0"/>
    <n v="0.13200000000000001"/>
    <n v="3"/>
    <x v="1"/>
  </r>
  <r>
    <x v="693"/>
    <s v="U9949"/>
    <n v="43532.82"/>
    <x v="1"/>
    <x v="1"/>
    <x v="1"/>
    <x v="3"/>
    <n v="572"/>
    <n v="12"/>
    <n v="0"/>
    <n v="6794.32"/>
    <n v="0"/>
    <n v="0.63700000000000001"/>
    <n v="7"/>
    <x v="1"/>
  </r>
  <r>
    <x v="694"/>
    <s v="U5795"/>
    <n v="16893.47"/>
    <x v="0"/>
    <x v="2"/>
    <x v="1"/>
    <x v="1"/>
    <n v="1792"/>
    <n v="12"/>
    <n v="0"/>
    <n v="20787.93"/>
    <n v="0"/>
    <n v="0.51800000000000002"/>
    <n v="1"/>
    <x v="1"/>
  </r>
  <r>
    <x v="695"/>
    <s v="U2598"/>
    <n v="35452.839999999997"/>
    <x v="1"/>
    <x v="2"/>
    <x v="1"/>
    <x v="3"/>
    <n v="1484"/>
    <n v="2"/>
    <n v="1"/>
    <n v="7576.58"/>
    <n v="0"/>
    <n v="0.55400000000000005"/>
    <n v="9"/>
    <x v="1"/>
  </r>
  <r>
    <x v="696"/>
    <s v="U7964"/>
    <n v="24225.27"/>
    <x v="1"/>
    <x v="3"/>
    <x v="2"/>
    <x v="2"/>
    <n v="1197"/>
    <n v="4"/>
    <n v="2"/>
    <n v="18014.400000000001"/>
    <n v="0"/>
    <n v="0.83399999999999996"/>
    <n v="6"/>
    <x v="1"/>
  </r>
  <r>
    <x v="697"/>
    <s v="U7604"/>
    <n v="37599.760000000002"/>
    <x v="2"/>
    <x v="1"/>
    <x v="2"/>
    <x v="3"/>
    <n v="1082"/>
    <n v="23"/>
    <n v="3"/>
    <n v="7240.84"/>
    <n v="0"/>
    <n v="0.311"/>
    <n v="4"/>
    <x v="1"/>
  </r>
  <r>
    <x v="698"/>
    <s v="U5652"/>
    <n v="9789.01"/>
    <x v="0"/>
    <x v="1"/>
    <x v="1"/>
    <x v="3"/>
    <n v="1057"/>
    <n v="18"/>
    <n v="1"/>
    <n v="767.27"/>
    <n v="0"/>
    <n v="6.0999999999999999E-2"/>
    <n v="9"/>
    <x v="1"/>
  </r>
  <r>
    <x v="699"/>
    <s v="U4337"/>
    <n v="39822.26"/>
    <x v="1"/>
    <x v="1"/>
    <x v="1"/>
    <x v="0"/>
    <n v="238"/>
    <n v="11"/>
    <n v="0"/>
    <n v="11027.98"/>
    <n v="0"/>
    <n v="0.44800000000000001"/>
    <n v="8"/>
    <x v="1"/>
  </r>
  <r>
    <x v="700"/>
    <s v="U1009"/>
    <n v="40756.239999999998"/>
    <x v="0"/>
    <x v="1"/>
    <x v="2"/>
    <x v="4"/>
    <n v="32"/>
    <n v="23"/>
    <n v="4"/>
    <n v="7536.52"/>
    <n v="0"/>
    <n v="0.92300000000000004"/>
    <n v="4"/>
    <x v="1"/>
  </r>
  <r>
    <x v="701"/>
    <s v="U5869"/>
    <n v="38912.36"/>
    <x v="1"/>
    <x v="1"/>
    <x v="0"/>
    <x v="1"/>
    <n v="302"/>
    <n v="3"/>
    <n v="0"/>
    <n v="28388.95"/>
    <n v="1"/>
    <n v="4.8000000000000001E-2"/>
    <n v="7"/>
    <x v="1"/>
  </r>
  <r>
    <x v="702"/>
    <s v="U5757"/>
    <n v="16298.27"/>
    <x v="1"/>
    <x v="1"/>
    <x v="2"/>
    <x v="0"/>
    <n v="520"/>
    <n v="3"/>
    <n v="0"/>
    <n v="26363.81"/>
    <n v="0"/>
    <n v="0.75"/>
    <n v="2"/>
    <x v="1"/>
  </r>
  <r>
    <x v="703"/>
    <s v="U3024"/>
    <n v="3409.43"/>
    <x v="1"/>
    <x v="0"/>
    <x v="2"/>
    <x v="3"/>
    <n v="470"/>
    <n v="20"/>
    <n v="0"/>
    <n v="15026.03"/>
    <n v="0"/>
    <n v="0.73899999999999999"/>
    <n v="9"/>
    <x v="1"/>
  </r>
  <r>
    <x v="704"/>
    <s v="U5134"/>
    <n v="33755.58"/>
    <x v="0"/>
    <x v="3"/>
    <x v="0"/>
    <x v="1"/>
    <n v="1666"/>
    <n v="7"/>
    <n v="2"/>
    <n v="25445.79"/>
    <n v="0"/>
    <n v="0.92400000000000004"/>
    <n v="1"/>
    <x v="1"/>
  </r>
  <r>
    <x v="705"/>
    <s v="U3290"/>
    <n v="33892.699999999997"/>
    <x v="2"/>
    <x v="3"/>
    <x v="0"/>
    <x v="2"/>
    <n v="1705"/>
    <n v="8"/>
    <n v="3"/>
    <n v="27661.53"/>
    <n v="0"/>
    <n v="0.109"/>
    <n v="1"/>
    <x v="1"/>
  </r>
  <r>
    <x v="706"/>
    <s v="U3598"/>
    <n v="36884.43"/>
    <x v="1"/>
    <x v="3"/>
    <x v="1"/>
    <x v="3"/>
    <n v="1396"/>
    <n v="21"/>
    <n v="1"/>
    <n v="10290.32"/>
    <n v="1"/>
    <n v="0.29499999999999998"/>
    <n v="8"/>
    <x v="1"/>
  </r>
  <r>
    <x v="707"/>
    <s v="U8984"/>
    <n v="16797.189999999999"/>
    <x v="1"/>
    <x v="0"/>
    <x v="0"/>
    <x v="4"/>
    <n v="341"/>
    <n v="9"/>
    <n v="4"/>
    <n v="27944.91"/>
    <n v="0"/>
    <n v="0.55900000000000005"/>
    <n v="3"/>
    <x v="1"/>
  </r>
  <r>
    <x v="708"/>
    <s v="U6849"/>
    <n v="19310.599999999999"/>
    <x v="0"/>
    <x v="2"/>
    <x v="0"/>
    <x v="4"/>
    <n v="989"/>
    <n v="17"/>
    <n v="0"/>
    <n v="8528.75"/>
    <n v="0"/>
    <n v="0.53500000000000003"/>
    <n v="4"/>
    <x v="1"/>
  </r>
  <r>
    <x v="709"/>
    <s v="U7733"/>
    <n v="48655.19"/>
    <x v="2"/>
    <x v="1"/>
    <x v="0"/>
    <x v="4"/>
    <n v="79"/>
    <n v="19"/>
    <n v="4"/>
    <n v="5869.69"/>
    <n v="0"/>
    <n v="0.78200000000000003"/>
    <n v="2"/>
    <x v="1"/>
  </r>
  <r>
    <x v="710"/>
    <s v="U1206"/>
    <n v="7388.75"/>
    <x v="0"/>
    <x v="2"/>
    <x v="1"/>
    <x v="1"/>
    <n v="1053"/>
    <n v="1"/>
    <n v="4"/>
    <n v="19645.05"/>
    <n v="0"/>
    <n v="0.9"/>
    <n v="3"/>
    <x v="1"/>
  </r>
  <r>
    <x v="711"/>
    <s v="U5153"/>
    <n v="36264.050000000003"/>
    <x v="2"/>
    <x v="3"/>
    <x v="0"/>
    <x v="0"/>
    <n v="664"/>
    <n v="22"/>
    <n v="1"/>
    <n v="1259.8699999999999"/>
    <n v="0"/>
    <n v="0.54300000000000004"/>
    <n v="8"/>
    <x v="1"/>
  </r>
  <r>
    <x v="712"/>
    <s v="U3859"/>
    <n v="24184.880000000001"/>
    <x v="2"/>
    <x v="3"/>
    <x v="0"/>
    <x v="2"/>
    <n v="929"/>
    <n v="8"/>
    <n v="4"/>
    <n v="7822.28"/>
    <n v="0"/>
    <n v="0.434"/>
    <n v="9"/>
    <x v="1"/>
  </r>
  <r>
    <x v="713"/>
    <s v="U9274"/>
    <n v="9861.14"/>
    <x v="2"/>
    <x v="2"/>
    <x v="2"/>
    <x v="0"/>
    <n v="1772"/>
    <n v="14"/>
    <n v="3"/>
    <n v="5434.81"/>
    <n v="0"/>
    <n v="0.77600000000000002"/>
    <n v="3"/>
    <x v="1"/>
  </r>
  <r>
    <x v="714"/>
    <s v="U3633"/>
    <n v="33100.28"/>
    <x v="2"/>
    <x v="3"/>
    <x v="2"/>
    <x v="2"/>
    <n v="1545"/>
    <n v="20"/>
    <n v="1"/>
    <n v="3680.13"/>
    <n v="0"/>
    <n v="7.1999999999999995E-2"/>
    <n v="7"/>
    <x v="1"/>
  </r>
  <r>
    <x v="715"/>
    <s v="U3806"/>
    <n v="18758.68"/>
    <x v="2"/>
    <x v="0"/>
    <x v="2"/>
    <x v="4"/>
    <n v="547"/>
    <n v="12"/>
    <n v="3"/>
    <n v="1085.0899999999999"/>
    <n v="0"/>
    <n v="0.187"/>
    <n v="5"/>
    <x v="1"/>
  </r>
  <r>
    <x v="716"/>
    <s v="U5578"/>
    <n v="29865.69"/>
    <x v="2"/>
    <x v="1"/>
    <x v="1"/>
    <x v="3"/>
    <n v="1809"/>
    <n v="13"/>
    <n v="0"/>
    <n v="29110.03"/>
    <n v="0"/>
    <n v="0.59799999999999998"/>
    <n v="5"/>
    <x v="1"/>
  </r>
  <r>
    <x v="717"/>
    <s v="U5885"/>
    <n v="49977.91"/>
    <x v="0"/>
    <x v="2"/>
    <x v="0"/>
    <x v="3"/>
    <n v="590"/>
    <n v="9"/>
    <n v="1"/>
    <n v="25319.55"/>
    <n v="0"/>
    <n v="0.32800000000000001"/>
    <n v="6"/>
    <x v="1"/>
  </r>
  <r>
    <x v="718"/>
    <s v="U1219"/>
    <n v="41386.269999999997"/>
    <x v="0"/>
    <x v="1"/>
    <x v="2"/>
    <x v="4"/>
    <n v="1261"/>
    <n v="8"/>
    <n v="4"/>
    <n v="10087.780000000001"/>
    <n v="0"/>
    <n v="0.17"/>
    <n v="6"/>
    <x v="1"/>
  </r>
  <r>
    <x v="719"/>
    <s v="U2012"/>
    <n v="37550.94"/>
    <x v="2"/>
    <x v="1"/>
    <x v="1"/>
    <x v="4"/>
    <n v="477"/>
    <n v="22"/>
    <n v="2"/>
    <n v="8923.77"/>
    <n v="0"/>
    <n v="0.91400000000000003"/>
    <n v="3"/>
    <x v="1"/>
  </r>
  <r>
    <x v="720"/>
    <s v="U7060"/>
    <n v="11759.56"/>
    <x v="1"/>
    <x v="2"/>
    <x v="2"/>
    <x v="1"/>
    <n v="1122"/>
    <n v="14"/>
    <n v="3"/>
    <n v="26498.880000000001"/>
    <n v="0"/>
    <n v="0.5"/>
    <n v="2"/>
    <x v="1"/>
  </r>
  <r>
    <x v="721"/>
    <s v="U9013"/>
    <n v="17286.93"/>
    <x v="2"/>
    <x v="2"/>
    <x v="1"/>
    <x v="0"/>
    <n v="1036"/>
    <n v="17"/>
    <n v="1"/>
    <n v="25374.16"/>
    <n v="0"/>
    <n v="0.72399999999999998"/>
    <n v="7"/>
    <x v="1"/>
  </r>
  <r>
    <x v="722"/>
    <s v="U9912"/>
    <n v="33941.07"/>
    <x v="1"/>
    <x v="3"/>
    <x v="2"/>
    <x v="1"/>
    <n v="1104"/>
    <n v="7"/>
    <n v="1"/>
    <n v="29100.34"/>
    <n v="0"/>
    <n v="0.218"/>
    <n v="2"/>
    <x v="1"/>
  </r>
  <r>
    <x v="723"/>
    <s v="U6341"/>
    <n v="36966.400000000001"/>
    <x v="1"/>
    <x v="1"/>
    <x v="2"/>
    <x v="1"/>
    <n v="1564"/>
    <n v="11"/>
    <n v="4"/>
    <n v="22361.08"/>
    <n v="0"/>
    <n v="0.39200000000000002"/>
    <n v="3"/>
    <x v="1"/>
  </r>
  <r>
    <x v="724"/>
    <s v="U1438"/>
    <n v="35327"/>
    <x v="1"/>
    <x v="2"/>
    <x v="2"/>
    <x v="4"/>
    <n v="1433"/>
    <n v="19"/>
    <n v="0"/>
    <n v="22149.74"/>
    <n v="0"/>
    <n v="0.40200000000000002"/>
    <n v="5"/>
    <x v="1"/>
  </r>
  <r>
    <x v="725"/>
    <s v="U5584"/>
    <n v="8181.41"/>
    <x v="2"/>
    <x v="3"/>
    <x v="0"/>
    <x v="2"/>
    <n v="108"/>
    <n v="22"/>
    <n v="1"/>
    <n v="22397.35"/>
    <n v="0"/>
    <n v="0.38"/>
    <n v="4"/>
    <x v="1"/>
  </r>
  <r>
    <x v="726"/>
    <s v="U8888"/>
    <n v="10661.74"/>
    <x v="2"/>
    <x v="3"/>
    <x v="1"/>
    <x v="1"/>
    <n v="1562"/>
    <n v="18"/>
    <n v="0"/>
    <n v="22246.82"/>
    <n v="0"/>
    <n v="0.28100000000000003"/>
    <n v="2"/>
    <x v="1"/>
  </r>
  <r>
    <x v="727"/>
    <s v="U5163"/>
    <n v="44783.360000000001"/>
    <x v="2"/>
    <x v="2"/>
    <x v="0"/>
    <x v="3"/>
    <n v="1972"/>
    <n v="14"/>
    <n v="4"/>
    <n v="3156.19"/>
    <n v="0"/>
    <n v="0.88200000000000001"/>
    <n v="7"/>
    <x v="1"/>
  </r>
  <r>
    <x v="728"/>
    <s v="U7155"/>
    <n v="15728.21"/>
    <x v="0"/>
    <x v="3"/>
    <x v="0"/>
    <x v="4"/>
    <n v="272"/>
    <n v="5"/>
    <n v="1"/>
    <n v="15164.68"/>
    <n v="1"/>
    <n v="0.85599999999999998"/>
    <n v="3"/>
    <x v="1"/>
  </r>
  <r>
    <x v="729"/>
    <s v="U3886"/>
    <n v="15032.11"/>
    <x v="0"/>
    <x v="3"/>
    <x v="1"/>
    <x v="3"/>
    <n v="1024"/>
    <n v="19"/>
    <n v="2"/>
    <n v="534.42999999999995"/>
    <n v="0"/>
    <n v="0.754"/>
    <n v="5"/>
    <x v="1"/>
  </r>
  <r>
    <x v="730"/>
    <s v="U7154"/>
    <n v="8667.57"/>
    <x v="0"/>
    <x v="0"/>
    <x v="2"/>
    <x v="3"/>
    <n v="1640"/>
    <n v="1"/>
    <n v="3"/>
    <n v="3161.29"/>
    <n v="0"/>
    <n v="0.16600000000000001"/>
    <n v="4"/>
    <x v="1"/>
  </r>
  <r>
    <x v="731"/>
    <s v="U1778"/>
    <n v="34615.96"/>
    <x v="2"/>
    <x v="1"/>
    <x v="1"/>
    <x v="0"/>
    <n v="955"/>
    <n v="19"/>
    <n v="3"/>
    <n v="1755.82"/>
    <n v="1"/>
    <n v="0.74"/>
    <n v="9"/>
    <x v="1"/>
  </r>
  <r>
    <x v="732"/>
    <s v="U9721"/>
    <n v="23361.32"/>
    <x v="2"/>
    <x v="1"/>
    <x v="2"/>
    <x v="1"/>
    <n v="192"/>
    <n v="12"/>
    <n v="0"/>
    <n v="17134.55"/>
    <n v="0"/>
    <n v="0"/>
    <n v="1"/>
    <x v="1"/>
  </r>
  <r>
    <x v="733"/>
    <s v="U3769"/>
    <n v="20417.02"/>
    <x v="0"/>
    <x v="2"/>
    <x v="1"/>
    <x v="2"/>
    <n v="1251"/>
    <n v="6"/>
    <n v="1"/>
    <n v="5503.63"/>
    <n v="0"/>
    <n v="0.13100000000000001"/>
    <n v="5"/>
    <x v="1"/>
  </r>
  <r>
    <x v="734"/>
    <s v="U2932"/>
    <n v="47907.99"/>
    <x v="0"/>
    <x v="2"/>
    <x v="1"/>
    <x v="3"/>
    <n v="1845"/>
    <n v="18"/>
    <n v="4"/>
    <n v="16216.01"/>
    <n v="0"/>
    <n v="0.77900000000000003"/>
    <n v="5"/>
    <x v="1"/>
  </r>
  <r>
    <x v="735"/>
    <s v="U6595"/>
    <n v="42218.41"/>
    <x v="2"/>
    <x v="0"/>
    <x v="2"/>
    <x v="0"/>
    <n v="380"/>
    <n v="5"/>
    <n v="4"/>
    <n v="23494.01"/>
    <n v="0"/>
    <n v="0.44400000000000001"/>
    <n v="7"/>
    <x v="1"/>
  </r>
  <r>
    <x v="736"/>
    <s v="U4557"/>
    <n v="13636.33"/>
    <x v="0"/>
    <x v="3"/>
    <x v="0"/>
    <x v="0"/>
    <n v="834"/>
    <n v="6"/>
    <n v="3"/>
    <n v="5402.2"/>
    <n v="0"/>
    <n v="0.97"/>
    <n v="8"/>
    <x v="1"/>
  </r>
  <r>
    <x v="737"/>
    <s v="U4972"/>
    <n v="19788.009999999998"/>
    <x v="1"/>
    <x v="1"/>
    <x v="2"/>
    <x v="1"/>
    <n v="1251"/>
    <n v="8"/>
    <n v="2"/>
    <n v="26973.24"/>
    <n v="0"/>
    <n v="0.86699999999999999"/>
    <n v="2"/>
    <x v="1"/>
  </r>
  <r>
    <x v="738"/>
    <s v="U6777"/>
    <n v="4252.18"/>
    <x v="0"/>
    <x v="3"/>
    <x v="1"/>
    <x v="2"/>
    <n v="158"/>
    <n v="19"/>
    <n v="4"/>
    <n v="596.49"/>
    <n v="0"/>
    <n v="0.91400000000000003"/>
    <n v="6"/>
    <x v="1"/>
  </r>
  <r>
    <x v="739"/>
    <s v="U8047"/>
    <n v="878.79"/>
    <x v="1"/>
    <x v="1"/>
    <x v="0"/>
    <x v="3"/>
    <n v="1656"/>
    <n v="15"/>
    <n v="0"/>
    <n v="28236.18"/>
    <n v="0"/>
    <n v="0.46899999999999997"/>
    <n v="5"/>
    <x v="1"/>
  </r>
  <r>
    <x v="740"/>
    <s v="U9111"/>
    <n v="33102.85"/>
    <x v="2"/>
    <x v="2"/>
    <x v="0"/>
    <x v="4"/>
    <n v="1565"/>
    <n v="5"/>
    <n v="4"/>
    <n v="21554.54"/>
    <n v="0"/>
    <n v="0.109"/>
    <n v="6"/>
    <x v="1"/>
  </r>
  <r>
    <x v="741"/>
    <s v="U2786"/>
    <n v="10595.74"/>
    <x v="2"/>
    <x v="2"/>
    <x v="1"/>
    <x v="3"/>
    <n v="1063"/>
    <n v="8"/>
    <n v="0"/>
    <n v="11759.77"/>
    <n v="0"/>
    <n v="5.7000000000000002E-2"/>
    <n v="9"/>
    <x v="1"/>
  </r>
  <r>
    <x v="742"/>
    <s v="U4413"/>
    <n v="38020.04"/>
    <x v="1"/>
    <x v="1"/>
    <x v="0"/>
    <x v="4"/>
    <n v="329"/>
    <n v="21"/>
    <n v="3"/>
    <n v="19562.95"/>
    <n v="1"/>
    <n v="0.17599999999999999"/>
    <n v="3"/>
    <x v="1"/>
  </r>
  <r>
    <x v="743"/>
    <s v="U3037"/>
    <n v="49629.46"/>
    <x v="1"/>
    <x v="2"/>
    <x v="2"/>
    <x v="4"/>
    <n v="306"/>
    <n v="0"/>
    <n v="1"/>
    <n v="13955.26"/>
    <n v="0"/>
    <n v="0.42299999999999999"/>
    <n v="3"/>
    <x v="1"/>
  </r>
  <r>
    <x v="744"/>
    <s v="U1363"/>
    <n v="20588.96"/>
    <x v="2"/>
    <x v="1"/>
    <x v="0"/>
    <x v="1"/>
    <n v="1634"/>
    <n v="6"/>
    <n v="0"/>
    <n v="27646.5"/>
    <n v="0"/>
    <n v="0.184"/>
    <n v="9"/>
    <x v="1"/>
  </r>
  <r>
    <x v="745"/>
    <s v="U5290"/>
    <n v="859.21"/>
    <x v="2"/>
    <x v="2"/>
    <x v="1"/>
    <x v="1"/>
    <n v="1733"/>
    <n v="9"/>
    <n v="4"/>
    <n v="7724.17"/>
    <n v="0"/>
    <n v="0.48599999999999999"/>
    <n v="6"/>
    <x v="1"/>
  </r>
  <r>
    <x v="746"/>
    <s v="U8848"/>
    <n v="33708.25"/>
    <x v="2"/>
    <x v="1"/>
    <x v="0"/>
    <x v="4"/>
    <n v="972"/>
    <n v="2"/>
    <n v="1"/>
    <n v="10612.25"/>
    <n v="0"/>
    <n v="0.64500000000000002"/>
    <n v="4"/>
    <x v="1"/>
  </r>
  <r>
    <x v="747"/>
    <s v="U1297"/>
    <n v="29693.4"/>
    <x v="2"/>
    <x v="1"/>
    <x v="2"/>
    <x v="0"/>
    <n v="155"/>
    <n v="12"/>
    <n v="3"/>
    <n v="6574.39"/>
    <n v="0"/>
    <n v="0.20699999999999999"/>
    <n v="6"/>
    <x v="1"/>
  </r>
  <r>
    <x v="748"/>
    <s v="U9502"/>
    <n v="5216.53"/>
    <x v="1"/>
    <x v="0"/>
    <x v="1"/>
    <x v="0"/>
    <n v="1339"/>
    <n v="0"/>
    <n v="0"/>
    <n v="15054.03"/>
    <n v="0"/>
    <n v="0.73099999999999998"/>
    <n v="2"/>
    <x v="1"/>
  </r>
  <r>
    <x v="749"/>
    <s v="U6003"/>
    <n v="39002.050000000003"/>
    <x v="2"/>
    <x v="3"/>
    <x v="1"/>
    <x v="3"/>
    <n v="767"/>
    <n v="17"/>
    <n v="1"/>
    <n v="13434.34"/>
    <n v="1"/>
    <n v="0.58899999999999997"/>
    <n v="9"/>
    <x v="1"/>
  </r>
  <r>
    <x v="750"/>
    <s v="U3999"/>
    <n v="6703.84"/>
    <x v="0"/>
    <x v="0"/>
    <x v="0"/>
    <x v="2"/>
    <n v="1145"/>
    <n v="15"/>
    <n v="4"/>
    <n v="2570.66"/>
    <n v="0"/>
    <n v="0.74399999999999999"/>
    <n v="2"/>
    <x v="1"/>
  </r>
  <r>
    <x v="751"/>
    <s v="U5951"/>
    <n v="30977.68"/>
    <x v="1"/>
    <x v="2"/>
    <x v="1"/>
    <x v="0"/>
    <n v="1328"/>
    <n v="23"/>
    <n v="1"/>
    <n v="20685.28"/>
    <n v="0"/>
    <n v="8.0000000000000002E-3"/>
    <n v="4"/>
    <x v="1"/>
  </r>
  <r>
    <x v="752"/>
    <s v="U4252"/>
    <n v="4347.3100000000004"/>
    <x v="2"/>
    <x v="1"/>
    <x v="0"/>
    <x v="0"/>
    <n v="933"/>
    <n v="20"/>
    <n v="2"/>
    <n v="18512.57"/>
    <n v="0"/>
    <n v="0.95899999999999996"/>
    <n v="7"/>
    <x v="1"/>
  </r>
  <r>
    <x v="753"/>
    <s v="U9402"/>
    <n v="17963.150000000001"/>
    <x v="1"/>
    <x v="2"/>
    <x v="2"/>
    <x v="3"/>
    <n v="747"/>
    <n v="12"/>
    <n v="3"/>
    <n v="14903.56"/>
    <n v="0"/>
    <n v="0.245"/>
    <n v="7"/>
    <x v="1"/>
  </r>
  <r>
    <x v="754"/>
    <s v="U8918"/>
    <n v="16998.3"/>
    <x v="1"/>
    <x v="3"/>
    <x v="1"/>
    <x v="3"/>
    <n v="206"/>
    <n v="0"/>
    <n v="4"/>
    <n v="5458.22"/>
    <n v="0"/>
    <n v="1.2E-2"/>
    <n v="7"/>
    <x v="1"/>
  </r>
  <r>
    <x v="755"/>
    <s v="U3462"/>
    <n v="36731.57"/>
    <x v="1"/>
    <x v="2"/>
    <x v="0"/>
    <x v="0"/>
    <n v="188"/>
    <n v="10"/>
    <n v="4"/>
    <n v="15779.77"/>
    <n v="0"/>
    <n v="0.39600000000000002"/>
    <n v="1"/>
    <x v="1"/>
  </r>
  <r>
    <x v="756"/>
    <s v="U1390"/>
    <n v="27640.69"/>
    <x v="2"/>
    <x v="2"/>
    <x v="0"/>
    <x v="3"/>
    <n v="941"/>
    <n v="3"/>
    <n v="3"/>
    <n v="21009.89"/>
    <n v="0"/>
    <n v="0.13600000000000001"/>
    <n v="4"/>
    <x v="1"/>
  </r>
  <r>
    <x v="757"/>
    <s v="U5082"/>
    <n v="43602.06"/>
    <x v="1"/>
    <x v="2"/>
    <x v="1"/>
    <x v="3"/>
    <n v="1698"/>
    <n v="21"/>
    <n v="2"/>
    <n v="16394.419999999998"/>
    <n v="0"/>
    <n v="0.316"/>
    <n v="3"/>
    <x v="1"/>
  </r>
  <r>
    <x v="758"/>
    <s v="U8652"/>
    <n v="4010.05"/>
    <x v="2"/>
    <x v="0"/>
    <x v="0"/>
    <x v="0"/>
    <n v="1610"/>
    <n v="8"/>
    <n v="1"/>
    <n v="3228"/>
    <n v="0"/>
    <n v="0.16300000000000001"/>
    <n v="9"/>
    <x v="1"/>
  </r>
  <r>
    <x v="759"/>
    <s v="U5268"/>
    <n v="45405.53"/>
    <x v="1"/>
    <x v="2"/>
    <x v="0"/>
    <x v="0"/>
    <n v="1069"/>
    <n v="1"/>
    <n v="4"/>
    <n v="15421.84"/>
    <n v="0"/>
    <n v="0.79"/>
    <n v="5"/>
    <x v="1"/>
  </r>
  <r>
    <x v="760"/>
    <s v="U8060"/>
    <n v="4076.74"/>
    <x v="0"/>
    <x v="3"/>
    <x v="1"/>
    <x v="1"/>
    <n v="1380"/>
    <n v="14"/>
    <n v="4"/>
    <n v="25511.63"/>
    <n v="0"/>
    <n v="0.76700000000000002"/>
    <n v="7"/>
    <x v="1"/>
  </r>
  <r>
    <x v="761"/>
    <s v="U6066"/>
    <n v="4055.33"/>
    <x v="0"/>
    <x v="2"/>
    <x v="1"/>
    <x v="2"/>
    <n v="756"/>
    <n v="20"/>
    <n v="3"/>
    <n v="21933.19"/>
    <n v="0"/>
    <n v="0.68400000000000005"/>
    <n v="4"/>
    <x v="1"/>
  </r>
  <r>
    <x v="762"/>
    <s v="U5040"/>
    <n v="41441.21"/>
    <x v="2"/>
    <x v="2"/>
    <x v="2"/>
    <x v="1"/>
    <n v="840"/>
    <n v="3"/>
    <n v="4"/>
    <n v="18967.439999999999"/>
    <n v="0"/>
    <n v="0.68600000000000005"/>
    <n v="1"/>
    <x v="1"/>
  </r>
  <r>
    <x v="763"/>
    <s v="U4849"/>
    <n v="39184.300000000003"/>
    <x v="1"/>
    <x v="0"/>
    <x v="0"/>
    <x v="4"/>
    <n v="767"/>
    <n v="9"/>
    <n v="4"/>
    <n v="12253.21"/>
    <n v="0"/>
    <n v="0.79900000000000004"/>
    <n v="6"/>
    <x v="1"/>
  </r>
  <r>
    <x v="764"/>
    <s v="U2739"/>
    <n v="29993.08"/>
    <x v="0"/>
    <x v="2"/>
    <x v="2"/>
    <x v="3"/>
    <n v="1964"/>
    <n v="9"/>
    <n v="0"/>
    <n v="21533.14"/>
    <n v="0"/>
    <n v="0.99099999999999999"/>
    <n v="2"/>
    <x v="1"/>
  </r>
  <r>
    <x v="765"/>
    <s v="U2283"/>
    <n v="27756.62"/>
    <x v="2"/>
    <x v="2"/>
    <x v="1"/>
    <x v="4"/>
    <n v="1393"/>
    <n v="6"/>
    <n v="1"/>
    <n v="5363.83"/>
    <n v="0"/>
    <n v="0.41199999999999998"/>
    <n v="7"/>
    <x v="1"/>
  </r>
  <r>
    <x v="766"/>
    <s v="U5647"/>
    <n v="11063.36"/>
    <x v="0"/>
    <x v="0"/>
    <x v="1"/>
    <x v="4"/>
    <n v="1909"/>
    <n v="14"/>
    <n v="2"/>
    <n v="20657.84"/>
    <n v="0"/>
    <n v="0.21199999999999999"/>
    <n v="1"/>
    <x v="1"/>
  </r>
  <r>
    <x v="767"/>
    <s v="U9509"/>
    <n v="9282.68"/>
    <x v="2"/>
    <x v="0"/>
    <x v="0"/>
    <x v="4"/>
    <n v="974"/>
    <n v="21"/>
    <n v="0"/>
    <n v="17357.47"/>
    <n v="0"/>
    <n v="0.33600000000000002"/>
    <n v="6"/>
    <x v="1"/>
  </r>
  <r>
    <x v="768"/>
    <s v="U9110"/>
    <n v="26193.9"/>
    <x v="0"/>
    <x v="1"/>
    <x v="0"/>
    <x v="2"/>
    <n v="1260"/>
    <n v="9"/>
    <n v="3"/>
    <n v="4580.74"/>
    <n v="0"/>
    <n v="0.65800000000000003"/>
    <n v="1"/>
    <x v="1"/>
  </r>
  <r>
    <x v="769"/>
    <s v="U4285"/>
    <n v="33342.769999999997"/>
    <x v="2"/>
    <x v="2"/>
    <x v="1"/>
    <x v="0"/>
    <n v="1801"/>
    <n v="0"/>
    <n v="3"/>
    <n v="4146.8100000000004"/>
    <n v="0"/>
    <n v="0.86299999999999999"/>
    <n v="1"/>
    <x v="1"/>
  </r>
  <r>
    <x v="770"/>
    <s v="U2541"/>
    <n v="34231.5"/>
    <x v="0"/>
    <x v="0"/>
    <x v="2"/>
    <x v="4"/>
    <n v="502"/>
    <n v="16"/>
    <n v="1"/>
    <n v="25020.16"/>
    <n v="0"/>
    <n v="0.45200000000000001"/>
    <n v="7"/>
    <x v="1"/>
  </r>
  <r>
    <x v="771"/>
    <s v="U5766"/>
    <n v="3884.07"/>
    <x v="0"/>
    <x v="0"/>
    <x v="1"/>
    <x v="4"/>
    <n v="1890"/>
    <n v="9"/>
    <n v="4"/>
    <n v="8043.09"/>
    <n v="0"/>
    <n v="0.95899999999999996"/>
    <n v="7"/>
    <x v="1"/>
  </r>
  <r>
    <x v="772"/>
    <s v="U8401"/>
    <n v="32108.880000000001"/>
    <x v="1"/>
    <x v="1"/>
    <x v="1"/>
    <x v="3"/>
    <n v="1200"/>
    <n v="17"/>
    <n v="1"/>
    <n v="17961.71"/>
    <n v="0"/>
    <n v="0.46400000000000002"/>
    <n v="8"/>
    <x v="1"/>
  </r>
  <r>
    <x v="773"/>
    <s v="U2233"/>
    <n v="16801.810000000001"/>
    <x v="2"/>
    <x v="3"/>
    <x v="0"/>
    <x v="3"/>
    <n v="1565"/>
    <n v="9"/>
    <n v="1"/>
    <n v="10045.129999999999"/>
    <n v="0"/>
    <n v="0.26"/>
    <n v="7"/>
    <x v="1"/>
  </r>
  <r>
    <x v="774"/>
    <s v="U1324"/>
    <n v="11884.35"/>
    <x v="0"/>
    <x v="0"/>
    <x v="1"/>
    <x v="4"/>
    <n v="1474"/>
    <n v="6"/>
    <n v="0"/>
    <n v="19093.46"/>
    <n v="0"/>
    <n v="0.36199999999999999"/>
    <n v="6"/>
    <x v="1"/>
  </r>
  <r>
    <x v="775"/>
    <s v="U2572"/>
    <n v="19996.66"/>
    <x v="0"/>
    <x v="3"/>
    <x v="2"/>
    <x v="0"/>
    <n v="1389"/>
    <n v="12"/>
    <n v="2"/>
    <n v="16236.69"/>
    <n v="0"/>
    <n v="0.27900000000000003"/>
    <n v="9"/>
    <x v="1"/>
  </r>
  <r>
    <x v="776"/>
    <s v="U4666"/>
    <n v="39967.94"/>
    <x v="2"/>
    <x v="2"/>
    <x v="0"/>
    <x v="0"/>
    <n v="1583"/>
    <n v="3"/>
    <n v="3"/>
    <n v="14138.14"/>
    <n v="0"/>
    <n v="0.46600000000000003"/>
    <n v="7"/>
    <x v="1"/>
  </r>
  <r>
    <x v="777"/>
    <s v="U3775"/>
    <n v="47466.19"/>
    <x v="1"/>
    <x v="2"/>
    <x v="2"/>
    <x v="0"/>
    <n v="1164"/>
    <n v="8"/>
    <n v="2"/>
    <n v="15341.51"/>
    <n v="0"/>
    <n v="0.87"/>
    <n v="3"/>
    <x v="1"/>
  </r>
  <r>
    <x v="778"/>
    <s v="U9591"/>
    <n v="17773.849999999999"/>
    <x v="0"/>
    <x v="2"/>
    <x v="2"/>
    <x v="3"/>
    <n v="539"/>
    <n v="0"/>
    <n v="1"/>
    <n v="18143.349999999999"/>
    <n v="0"/>
    <n v="0.16500000000000001"/>
    <n v="1"/>
    <x v="1"/>
  </r>
  <r>
    <x v="779"/>
    <s v="U4454"/>
    <n v="29985"/>
    <x v="0"/>
    <x v="0"/>
    <x v="0"/>
    <x v="4"/>
    <n v="485"/>
    <n v="18"/>
    <n v="4"/>
    <n v="14820.75"/>
    <n v="0"/>
    <n v="0.70299999999999996"/>
    <n v="7"/>
    <x v="1"/>
  </r>
  <r>
    <x v="780"/>
    <s v="U3714"/>
    <n v="29867.41"/>
    <x v="0"/>
    <x v="0"/>
    <x v="2"/>
    <x v="0"/>
    <n v="1108"/>
    <n v="6"/>
    <n v="0"/>
    <n v="9750.33"/>
    <n v="0"/>
    <n v="0.98899999999999999"/>
    <n v="5"/>
    <x v="1"/>
  </r>
  <r>
    <x v="781"/>
    <s v="U3440"/>
    <n v="4435.0200000000004"/>
    <x v="1"/>
    <x v="1"/>
    <x v="1"/>
    <x v="1"/>
    <n v="1200"/>
    <n v="4"/>
    <n v="1"/>
    <n v="28988.9"/>
    <n v="0"/>
    <n v="0.186"/>
    <n v="1"/>
    <x v="1"/>
  </r>
  <r>
    <x v="782"/>
    <s v="U6855"/>
    <n v="14200.06"/>
    <x v="2"/>
    <x v="1"/>
    <x v="2"/>
    <x v="3"/>
    <n v="1675"/>
    <n v="4"/>
    <n v="0"/>
    <n v="14421"/>
    <n v="1"/>
    <n v="0.94799999999999995"/>
    <n v="8"/>
    <x v="1"/>
  </r>
  <r>
    <x v="783"/>
    <s v="U1801"/>
    <n v="33969.379999999997"/>
    <x v="0"/>
    <x v="2"/>
    <x v="1"/>
    <x v="2"/>
    <n v="70"/>
    <n v="5"/>
    <n v="0"/>
    <n v="16433.63"/>
    <n v="0"/>
    <n v="0.23499999999999999"/>
    <n v="2"/>
    <x v="1"/>
  </r>
  <r>
    <x v="784"/>
    <s v="U9228"/>
    <n v="46590.43"/>
    <x v="0"/>
    <x v="1"/>
    <x v="2"/>
    <x v="4"/>
    <n v="1242"/>
    <n v="15"/>
    <n v="0"/>
    <n v="10786.47"/>
    <n v="0"/>
    <n v="0.74199999999999999"/>
    <n v="1"/>
    <x v="1"/>
  </r>
  <r>
    <x v="785"/>
    <s v="U1840"/>
    <n v="15664.27"/>
    <x v="0"/>
    <x v="1"/>
    <x v="2"/>
    <x v="4"/>
    <n v="1924"/>
    <n v="8"/>
    <n v="0"/>
    <n v="26564.83"/>
    <n v="0"/>
    <n v="0.95699999999999996"/>
    <n v="5"/>
    <x v="1"/>
  </r>
  <r>
    <x v="786"/>
    <s v="U4757"/>
    <n v="38304.639999999999"/>
    <x v="0"/>
    <x v="3"/>
    <x v="0"/>
    <x v="0"/>
    <n v="1913"/>
    <n v="13"/>
    <n v="0"/>
    <n v="12594.08"/>
    <n v="0"/>
    <n v="0.33100000000000002"/>
    <n v="8"/>
    <x v="1"/>
  </r>
  <r>
    <x v="787"/>
    <s v="U1234"/>
    <n v="33601.86"/>
    <x v="1"/>
    <x v="3"/>
    <x v="2"/>
    <x v="1"/>
    <n v="1071"/>
    <n v="11"/>
    <n v="3"/>
    <n v="23016.61"/>
    <n v="0"/>
    <n v="0.94899999999999995"/>
    <n v="5"/>
    <x v="1"/>
  </r>
  <r>
    <x v="788"/>
    <s v="U1073"/>
    <n v="37111.79"/>
    <x v="1"/>
    <x v="1"/>
    <x v="0"/>
    <x v="3"/>
    <n v="835"/>
    <n v="8"/>
    <n v="0"/>
    <n v="26774.69"/>
    <n v="0"/>
    <n v="0.20200000000000001"/>
    <n v="6"/>
    <x v="1"/>
  </r>
  <r>
    <x v="789"/>
    <s v="U9403"/>
    <n v="5314.8"/>
    <x v="2"/>
    <x v="3"/>
    <x v="1"/>
    <x v="0"/>
    <n v="447"/>
    <n v="15"/>
    <n v="1"/>
    <n v="16531.54"/>
    <n v="0"/>
    <n v="0.435"/>
    <n v="4"/>
    <x v="1"/>
  </r>
  <r>
    <x v="790"/>
    <s v="U7853"/>
    <n v="14948.71"/>
    <x v="0"/>
    <x v="3"/>
    <x v="1"/>
    <x v="0"/>
    <n v="578"/>
    <n v="17"/>
    <n v="0"/>
    <n v="3159.42"/>
    <n v="1"/>
    <n v="0.65"/>
    <n v="9"/>
    <x v="1"/>
  </r>
  <r>
    <x v="791"/>
    <s v="U4243"/>
    <n v="29788.55"/>
    <x v="1"/>
    <x v="3"/>
    <x v="0"/>
    <x v="2"/>
    <n v="840"/>
    <n v="3"/>
    <n v="3"/>
    <n v="27768.03"/>
    <n v="0"/>
    <n v="0.85199999999999998"/>
    <n v="6"/>
    <x v="1"/>
  </r>
  <r>
    <x v="792"/>
    <s v="U1095"/>
    <n v="2783.9"/>
    <x v="0"/>
    <x v="1"/>
    <x v="2"/>
    <x v="4"/>
    <n v="212"/>
    <n v="0"/>
    <n v="2"/>
    <n v="20400.23"/>
    <n v="1"/>
    <n v="0.70399999999999996"/>
    <n v="7"/>
    <x v="1"/>
  </r>
  <r>
    <x v="793"/>
    <s v="U8806"/>
    <n v="2738.83"/>
    <x v="0"/>
    <x v="3"/>
    <x v="2"/>
    <x v="1"/>
    <n v="396"/>
    <n v="10"/>
    <n v="0"/>
    <n v="27037.46"/>
    <n v="0"/>
    <n v="0.308"/>
    <n v="9"/>
    <x v="1"/>
  </r>
  <r>
    <x v="794"/>
    <s v="U1758"/>
    <n v="1995.94"/>
    <x v="1"/>
    <x v="0"/>
    <x v="2"/>
    <x v="4"/>
    <n v="1055"/>
    <n v="3"/>
    <n v="1"/>
    <n v="16734.099999999999"/>
    <n v="0"/>
    <n v="3.2000000000000001E-2"/>
    <n v="8"/>
    <x v="1"/>
  </r>
  <r>
    <x v="795"/>
    <s v="U5520"/>
    <n v="23063.64"/>
    <x v="1"/>
    <x v="0"/>
    <x v="0"/>
    <x v="3"/>
    <n v="801"/>
    <n v="6"/>
    <n v="4"/>
    <n v="2165.19"/>
    <n v="0"/>
    <n v="0.99"/>
    <n v="5"/>
    <x v="1"/>
  </r>
  <r>
    <x v="796"/>
    <s v="U9588"/>
    <n v="4913.4799999999996"/>
    <x v="1"/>
    <x v="1"/>
    <x v="2"/>
    <x v="2"/>
    <n v="696"/>
    <n v="7"/>
    <n v="1"/>
    <n v="28547.759999999998"/>
    <n v="0"/>
    <n v="0.29299999999999998"/>
    <n v="8"/>
    <x v="1"/>
  </r>
  <r>
    <x v="797"/>
    <s v="U8774"/>
    <n v="32294.44"/>
    <x v="1"/>
    <x v="3"/>
    <x v="0"/>
    <x v="2"/>
    <n v="1463"/>
    <n v="11"/>
    <n v="1"/>
    <n v="25617.69"/>
    <n v="0"/>
    <n v="0.5"/>
    <n v="4"/>
    <x v="1"/>
  </r>
  <r>
    <x v="798"/>
    <s v="U4971"/>
    <n v="7830.87"/>
    <x v="1"/>
    <x v="2"/>
    <x v="0"/>
    <x v="3"/>
    <n v="10"/>
    <n v="6"/>
    <n v="2"/>
    <n v="25872.36"/>
    <n v="0"/>
    <n v="0.84499999999999997"/>
    <n v="6"/>
    <x v="1"/>
  </r>
  <r>
    <x v="799"/>
    <s v="U9095"/>
    <n v="7102.89"/>
    <x v="1"/>
    <x v="0"/>
    <x v="0"/>
    <x v="0"/>
    <n v="1791"/>
    <n v="7"/>
    <n v="2"/>
    <n v="19594.75"/>
    <n v="0"/>
    <n v="0.96799999999999997"/>
    <n v="7"/>
    <x v="1"/>
  </r>
  <r>
    <x v="800"/>
    <s v="U6857"/>
    <n v="7343.75"/>
    <x v="0"/>
    <x v="1"/>
    <x v="1"/>
    <x v="4"/>
    <n v="1139"/>
    <n v="4"/>
    <n v="4"/>
    <n v="15010.17"/>
    <n v="1"/>
    <n v="0.46400000000000002"/>
    <n v="2"/>
    <x v="1"/>
  </r>
  <r>
    <x v="801"/>
    <s v="U6408"/>
    <n v="18156.97"/>
    <x v="1"/>
    <x v="1"/>
    <x v="1"/>
    <x v="1"/>
    <n v="1979"/>
    <n v="22"/>
    <n v="1"/>
    <n v="13362.05"/>
    <n v="0"/>
    <n v="0.1"/>
    <n v="5"/>
    <x v="1"/>
  </r>
  <r>
    <x v="802"/>
    <s v="U3004"/>
    <n v="41208.68"/>
    <x v="1"/>
    <x v="0"/>
    <x v="2"/>
    <x v="3"/>
    <n v="1223"/>
    <n v="19"/>
    <n v="2"/>
    <n v="7067.9"/>
    <n v="1"/>
    <n v="0.54800000000000004"/>
    <n v="5"/>
    <x v="1"/>
  </r>
  <r>
    <x v="803"/>
    <s v="U9835"/>
    <n v="2834.26"/>
    <x v="1"/>
    <x v="3"/>
    <x v="1"/>
    <x v="3"/>
    <n v="800"/>
    <n v="17"/>
    <n v="3"/>
    <n v="22202.58"/>
    <n v="0"/>
    <n v="0.82699999999999996"/>
    <n v="3"/>
    <x v="1"/>
  </r>
  <r>
    <x v="804"/>
    <s v="U5232"/>
    <n v="24218.82"/>
    <x v="0"/>
    <x v="2"/>
    <x v="1"/>
    <x v="2"/>
    <n v="358"/>
    <n v="19"/>
    <n v="0"/>
    <n v="20650.79"/>
    <n v="0"/>
    <n v="0.98599999999999999"/>
    <n v="9"/>
    <x v="1"/>
  </r>
  <r>
    <x v="805"/>
    <s v="U1669"/>
    <n v="40599.75"/>
    <x v="2"/>
    <x v="3"/>
    <x v="2"/>
    <x v="1"/>
    <n v="1549"/>
    <n v="9"/>
    <n v="3"/>
    <n v="13439.35"/>
    <n v="0"/>
    <n v="0.75800000000000001"/>
    <n v="3"/>
    <x v="1"/>
  </r>
  <r>
    <x v="806"/>
    <s v="U3702"/>
    <n v="47052.57"/>
    <x v="0"/>
    <x v="3"/>
    <x v="0"/>
    <x v="0"/>
    <n v="963"/>
    <n v="19"/>
    <n v="4"/>
    <n v="5634.56"/>
    <n v="0"/>
    <n v="0.44600000000000001"/>
    <n v="3"/>
    <x v="1"/>
  </r>
  <r>
    <x v="807"/>
    <s v="U9068"/>
    <n v="21383.9"/>
    <x v="0"/>
    <x v="1"/>
    <x v="2"/>
    <x v="0"/>
    <n v="1421"/>
    <n v="7"/>
    <n v="4"/>
    <n v="27657.200000000001"/>
    <n v="0"/>
    <n v="0.79800000000000004"/>
    <n v="3"/>
    <x v="1"/>
  </r>
  <r>
    <x v="808"/>
    <s v="U6274"/>
    <n v="38498.839999999997"/>
    <x v="1"/>
    <x v="0"/>
    <x v="0"/>
    <x v="0"/>
    <n v="607"/>
    <n v="8"/>
    <n v="2"/>
    <n v="13428.22"/>
    <n v="0"/>
    <n v="0.16800000000000001"/>
    <n v="7"/>
    <x v="1"/>
  </r>
  <r>
    <x v="809"/>
    <s v="U1672"/>
    <n v="6013.08"/>
    <x v="1"/>
    <x v="0"/>
    <x v="1"/>
    <x v="1"/>
    <n v="1456"/>
    <n v="9"/>
    <n v="1"/>
    <n v="7844.45"/>
    <n v="0"/>
    <n v="0.32200000000000001"/>
    <n v="8"/>
    <x v="1"/>
  </r>
  <r>
    <x v="810"/>
    <s v="U9037"/>
    <n v="26790.62"/>
    <x v="0"/>
    <x v="2"/>
    <x v="1"/>
    <x v="1"/>
    <n v="512"/>
    <n v="19"/>
    <n v="4"/>
    <n v="4199.3599999999997"/>
    <n v="0"/>
    <n v="0.375"/>
    <n v="1"/>
    <x v="1"/>
  </r>
  <r>
    <x v="811"/>
    <s v="U6212"/>
    <n v="2122.79"/>
    <x v="0"/>
    <x v="2"/>
    <x v="1"/>
    <x v="0"/>
    <n v="171"/>
    <n v="6"/>
    <n v="4"/>
    <n v="12971.24"/>
    <n v="0"/>
    <n v="3.6999999999999998E-2"/>
    <n v="7"/>
    <x v="1"/>
  </r>
  <r>
    <x v="812"/>
    <s v="U7201"/>
    <n v="31187.81"/>
    <x v="2"/>
    <x v="2"/>
    <x v="1"/>
    <x v="2"/>
    <n v="1245"/>
    <n v="17"/>
    <n v="1"/>
    <n v="29600.27"/>
    <n v="0"/>
    <n v="0.71799999999999997"/>
    <n v="9"/>
    <x v="1"/>
  </r>
  <r>
    <x v="813"/>
    <s v="U7927"/>
    <n v="26456.400000000001"/>
    <x v="2"/>
    <x v="1"/>
    <x v="1"/>
    <x v="1"/>
    <n v="751"/>
    <n v="16"/>
    <n v="4"/>
    <n v="6433.12"/>
    <n v="0"/>
    <n v="0.153"/>
    <n v="8"/>
    <x v="1"/>
  </r>
  <r>
    <x v="814"/>
    <s v="U8135"/>
    <n v="27930.65"/>
    <x v="1"/>
    <x v="3"/>
    <x v="1"/>
    <x v="4"/>
    <n v="1548"/>
    <n v="15"/>
    <n v="2"/>
    <n v="13471.02"/>
    <n v="0"/>
    <n v="3.4000000000000002E-2"/>
    <n v="2"/>
    <x v="1"/>
  </r>
  <r>
    <x v="815"/>
    <s v="U9775"/>
    <n v="25924.62"/>
    <x v="2"/>
    <x v="2"/>
    <x v="2"/>
    <x v="0"/>
    <n v="1776"/>
    <n v="18"/>
    <n v="3"/>
    <n v="29670.06"/>
    <n v="0"/>
    <n v="0.20899999999999999"/>
    <n v="2"/>
    <x v="1"/>
  </r>
  <r>
    <x v="816"/>
    <s v="U2471"/>
    <n v="24200.73"/>
    <x v="0"/>
    <x v="0"/>
    <x v="2"/>
    <x v="0"/>
    <n v="492"/>
    <n v="2"/>
    <n v="4"/>
    <n v="4564.66"/>
    <n v="0"/>
    <n v="0.54"/>
    <n v="2"/>
    <x v="1"/>
  </r>
  <r>
    <x v="817"/>
    <s v="U8616"/>
    <n v="1871.23"/>
    <x v="1"/>
    <x v="3"/>
    <x v="1"/>
    <x v="3"/>
    <n v="1719"/>
    <n v="17"/>
    <n v="4"/>
    <n v="1748.72"/>
    <n v="0"/>
    <n v="0.25"/>
    <n v="5"/>
    <x v="1"/>
  </r>
  <r>
    <x v="818"/>
    <s v="U4839"/>
    <n v="31556.98"/>
    <x v="2"/>
    <x v="2"/>
    <x v="1"/>
    <x v="2"/>
    <n v="1375"/>
    <n v="9"/>
    <n v="0"/>
    <n v="5622.16"/>
    <n v="0"/>
    <n v="0.83699999999999997"/>
    <n v="7"/>
    <x v="1"/>
  </r>
  <r>
    <x v="819"/>
    <s v="U1918"/>
    <n v="2858.4"/>
    <x v="1"/>
    <x v="1"/>
    <x v="1"/>
    <x v="2"/>
    <n v="1255"/>
    <n v="20"/>
    <n v="1"/>
    <n v="14927.53"/>
    <n v="0"/>
    <n v="0.84299999999999997"/>
    <n v="3"/>
    <x v="1"/>
  </r>
  <r>
    <x v="820"/>
    <s v="U5201"/>
    <n v="18880.46"/>
    <x v="2"/>
    <x v="1"/>
    <x v="1"/>
    <x v="0"/>
    <n v="1453"/>
    <n v="4"/>
    <n v="2"/>
    <n v="26553.78"/>
    <n v="0"/>
    <n v="0.434"/>
    <n v="9"/>
    <x v="1"/>
  </r>
  <r>
    <x v="821"/>
    <s v="U6701"/>
    <n v="38031.980000000003"/>
    <x v="0"/>
    <x v="0"/>
    <x v="0"/>
    <x v="4"/>
    <n v="39"/>
    <n v="5"/>
    <n v="1"/>
    <n v="2748.66"/>
    <n v="0"/>
    <n v="0.43"/>
    <n v="6"/>
    <x v="1"/>
  </r>
  <r>
    <x v="822"/>
    <s v="U6227"/>
    <n v="49233.49"/>
    <x v="2"/>
    <x v="2"/>
    <x v="2"/>
    <x v="2"/>
    <n v="128"/>
    <n v="15"/>
    <n v="3"/>
    <n v="1475.81"/>
    <n v="0"/>
    <n v="0.28199999999999997"/>
    <n v="3"/>
    <x v="1"/>
  </r>
  <r>
    <x v="823"/>
    <s v="U1211"/>
    <n v="1769.84"/>
    <x v="1"/>
    <x v="2"/>
    <x v="1"/>
    <x v="4"/>
    <n v="721"/>
    <n v="18"/>
    <n v="3"/>
    <n v="3209.91"/>
    <n v="0"/>
    <n v="0.45700000000000002"/>
    <n v="6"/>
    <x v="1"/>
  </r>
  <r>
    <x v="824"/>
    <s v="U6605"/>
    <n v="4380.99"/>
    <x v="2"/>
    <x v="0"/>
    <x v="2"/>
    <x v="2"/>
    <n v="270"/>
    <n v="6"/>
    <n v="1"/>
    <n v="10677.55"/>
    <n v="0"/>
    <n v="0.72199999999999998"/>
    <n v="2"/>
    <x v="1"/>
  </r>
  <r>
    <x v="825"/>
    <s v="U3341"/>
    <n v="18202.03"/>
    <x v="0"/>
    <x v="2"/>
    <x v="2"/>
    <x v="1"/>
    <n v="1181"/>
    <n v="20"/>
    <n v="4"/>
    <n v="16603.25"/>
    <n v="0"/>
    <n v="0.46700000000000003"/>
    <n v="9"/>
    <x v="1"/>
  </r>
  <r>
    <x v="826"/>
    <s v="U3902"/>
    <n v="6497.11"/>
    <x v="0"/>
    <x v="2"/>
    <x v="2"/>
    <x v="1"/>
    <n v="1535"/>
    <n v="3"/>
    <n v="3"/>
    <n v="4158"/>
    <n v="0"/>
    <n v="0.92300000000000004"/>
    <n v="7"/>
    <x v="1"/>
  </r>
  <r>
    <x v="827"/>
    <s v="U3868"/>
    <n v="23607.74"/>
    <x v="0"/>
    <x v="1"/>
    <x v="2"/>
    <x v="1"/>
    <n v="424"/>
    <n v="14"/>
    <n v="2"/>
    <n v="7833.37"/>
    <n v="1"/>
    <n v="0.92600000000000005"/>
    <n v="9"/>
    <x v="1"/>
  </r>
  <r>
    <x v="828"/>
    <s v="U2435"/>
    <n v="11412.71"/>
    <x v="0"/>
    <x v="0"/>
    <x v="2"/>
    <x v="4"/>
    <n v="623"/>
    <n v="22"/>
    <n v="4"/>
    <n v="21307.39"/>
    <n v="0"/>
    <n v="8.5999999999999993E-2"/>
    <n v="8"/>
    <x v="1"/>
  </r>
  <r>
    <x v="829"/>
    <s v="U4486"/>
    <n v="1141.24"/>
    <x v="1"/>
    <x v="1"/>
    <x v="0"/>
    <x v="2"/>
    <n v="1576"/>
    <n v="6"/>
    <n v="0"/>
    <n v="16682.560000000001"/>
    <n v="0"/>
    <n v="0.68899999999999995"/>
    <n v="7"/>
    <x v="1"/>
  </r>
  <r>
    <x v="830"/>
    <s v="U8203"/>
    <n v="47945.65"/>
    <x v="2"/>
    <x v="1"/>
    <x v="2"/>
    <x v="2"/>
    <n v="192"/>
    <n v="19"/>
    <n v="1"/>
    <n v="28691.3"/>
    <n v="0"/>
    <n v="0.79"/>
    <n v="6"/>
    <x v="1"/>
  </r>
  <r>
    <x v="831"/>
    <s v="U9290"/>
    <n v="13986.46"/>
    <x v="2"/>
    <x v="1"/>
    <x v="2"/>
    <x v="2"/>
    <n v="275"/>
    <n v="23"/>
    <n v="0"/>
    <n v="12469.38"/>
    <n v="0"/>
    <n v="0.30199999999999999"/>
    <n v="1"/>
    <x v="1"/>
  </r>
  <r>
    <x v="832"/>
    <s v="U9307"/>
    <n v="7768.32"/>
    <x v="2"/>
    <x v="2"/>
    <x v="1"/>
    <x v="3"/>
    <n v="1398"/>
    <n v="13"/>
    <n v="0"/>
    <n v="14818.11"/>
    <n v="0"/>
    <n v="0.69399999999999995"/>
    <n v="4"/>
    <x v="1"/>
  </r>
  <r>
    <x v="833"/>
    <s v="U5099"/>
    <n v="39099.9"/>
    <x v="2"/>
    <x v="0"/>
    <x v="1"/>
    <x v="0"/>
    <n v="1869"/>
    <n v="18"/>
    <n v="0"/>
    <n v="23264.560000000001"/>
    <n v="0"/>
    <n v="0.59299999999999997"/>
    <n v="7"/>
    <x v="1"/>
  </r>
  <r>
    <x v="834"/>
    <s v="U5818"/>
    <n v="28481.86"/>
    <x v="0"/>
    <x v="1"/>
    <x v="2"/>
    <x v="3"/>
    <n v="115"/>
    <n v="12"/>
    <n v="1"/>
    <n v="18760.169999999998"/>
    <n v="1"/>
    <n v="0.16"/>
    <n v="9"/>
    <x v="1"/>
  </r>
  <r>
    <x v="835"/>
    <s v="U1338"/>
    <n v="12419.2"/>
    <x v="2"/>
    <x v="1"/>
    <x v="0"/>
    <x v="1"/>
    <n v="1213"/>
    <n v="18"/>
    <n v="3"/>
    <n v="17709.3"/>
    <n v="0"/>
    <n v="0.92800000000000005"/>
    <n v="2"/>
    <x v="1"/>
  </r>
  <r>
    <x v="836"/>
    <s v="U3914"/>
    <n v="36992.080000000002"/>
    <x v="0"/>
    <x v="1"/>
    <x v="2"/>
    <x v="4"/>
    <n v="1287"/>
    <n v="20"/>
    <n v="1"/>
    <n v="1553.27"/>
    <n v="0"/>
    <n v="0.68799999999999994"/>
    <n v="6"/>
    <x v="1"/>
  </r>
  <r>
    <x v="837"/>
    <s v="U7725"/>
    <n v="42089.02"/>
    <x v="0"/>
    <x v="3"/>
    <x v="2"/>
    <x v="0"/>
    <n v="1857"/>
    <n v="19"/>
    <n v="2"/>
    <n v="20613.97"/>
    <n v="0"/>
    <n v="0.95"/>
    <n v="2"/>
    <x v="1"/>
  </r>
  <r>
    <x v="838"/>
    <s v="U4865"/>
    <n v="19576.330000000002"/>
    <x v="1"/>
    <x v="1"/>
    <x v="1"/>
    <x v="0"/>
    <n v="836"/>
    <n v="6"/>
    <n v="1"/>
    <n v="14183.86"/>
    <n v="0"/>
    <n v="0.14399999999999999"/>
    <n v="8"/>
    <x v="1"/>
  </r>
  <r>
    <x v="839"/>
    <s v="U3570"/>
    <n v="12120.86"/>
    <x v="2"/>
    <x v="0"/>
    <x v="0"/>
    <x v="3"/>
    <n v="108"/>
    <n v="20"/>
    <n v="2"/>
    <n v="20468.78"/>
    <n v="0"/>
    <n v="8.4000000000000005E-2"/>
    <n v="8"/>
    <x v="1"/>
  </r>
  <r>
    <x v="840"/>
    <s v="U9229"/>
    <n v="15879.36"/>
    <x v="1"/>
    <x v="1"/>
    <x v="0"/>
    <x v="2"/>
    <n v="1814"/>
    <n v="6"/>
    <n v="2"/>
    <n v="28177"/>
    <n v="0"/>
    <n v="0.221"/>
    <n v="5"/>
    <x v="1"/>
  </r>
  <r>
    <x v="841"/>
    <s v="U5546"/>
    <n v="28486.78"/>
    <x v="2"/>
    <x v="2"/>
    <x v="1"/>
    <x v="4"/>
    <n v="1645"/>
    <n v="3"/>
    <n v="2"/>
    <n v="22725.03"/>
    <n v="0"/>
    <n v="0.83899999999999997"/>
    <n v="2"/>
    <x v="1"/>
  </r>
  <r>
    <x v="842"/>
    <s v="U7972"/>
    <n v="2605.7199999999998"/>
    <x v="2"/>
    <x v="1"/>
    <x v="2"/>
    <x v="4"/>
    <n v="526"/>
    <n v="22"/>
    <n v="3"/>
    <n v="17246.09"/>
    <n v="0"/>
    <n v="0.97599999999999998"/>
    <n v="3"/>
    <x v="1"/>
  </r>
  <r>
    <x v="843"/>
    <s v="U6629"/>
    <n v="24625.49"/>
    <x v="1"/>
    <x v="2"/>
    <x v="0"/>
    <x v="4"/>
    <n v="1230"/>
    <n v="9"/>
    <n v="3"/>
    <n v="5873.95"/>
    <n v="0"/>
    <n v="0.96399999999999997"/>
    <n v="3"/>
    <x v="1"/>
  </r>
  <r>
    <x v="844"/>
    <s v="U6542"/>
    <n v="41417.879999999997"/>
    <x v="2"/>
    <x v="1"/>
    <x v="0"/>
    <x v="0"/>
    <n v="1038"/>
    <n v="14"/>
    <n v="1"/>
    <n v="24483.18"/>
    <n v="0"/>
    <n v="0.44500000000000001"/>
    <n v="7"/>
    <x v="1"/>
  </r>
  <r>
    <x v="845"/>
    <s v="U8536"/>
    <n v="41100.870000000003"/>
    <x v="1"/>
    <x v="2"/>
    <x v="0"/>
    <x v="4"/>
    <n v="462"/>
    <n v="6"/>
    <n v="1"/>
    <n v="11021.73"/>
    <n v="0"/>
    <n v="0.19600000000000001"/>
    <n v="1"/>
    <x v="1"/>
  </r>
  <r>
    <x v="846"/>
    <s v="U9568"/>
    <n v="18146.560000000001"/>
    <x v="1"/>
    <x v="3"/>
    <x v="1"/>
    <x v="2"/>
    <n v="1724"/>
    <n v="15"/>
    <n v="2"/>
    <n v="18580.79"/>
    <n v="0"/>
    <n v="0.96199999999999997"/>
    <n v="1"/>
    <x v="1"/>
  </r>
  <r>
    <x v="847"/>
    <s v="U9614"/>
    <n v="43491.31"/>
    <x v="2"/>
    <x v="0"/>
    <x v="1"/>
    <x v="4"/>
    <n v="1680"/>
    <n v="3"/>
    <n v="2"/>
    <n v="24889.26"/>
    <n v="0"/>
    <n v="0.79600000000000004"/>
    <n v="2"/>
    <x v="1"/>
  </r>
  <r>
    <x v="848"/>
    <s v="U8019"/>
    <n v="22479.439999999999"/>
    <x v="1"/>
    <x v="0"/>
    <x v="2"/>
    <x v="0"/>
    <n v="954"/>
    <n v="5"/>
    <n v="4"/>
    <n v="3225.46"/>
    <n v="1"/>
    <n v="9.9000000000000005E-2"/>
    <n v="8"/>
    <x v="1"/>
  </r>
  <r>
    <x v="849"/>
    <s v="U6288"/>
    <n v="9665.0300000000007"/>
    <x v="2"/>
    <x v="0"/>
    <x v="0"/>
    <x v="0"/>
    <n v="1907"/>
    <n v="8"/>
    <n v="0"/>
    <n v="3453.92"/>
    <n v="0"/>
    <n v="0.14000000000000001"/>
    <n v="8"/>
    <x v="1"/>
  </r>
  <r>
    <x v="850"/>
    <s v="U1132"/>
    <n v="2485.88"/>
    <x v="0"/>
    <x v="1"/>
    <x v="2"/>
    <x v="4"/>
    <n v="239"/>
    <n v="11"/>
    <n v="3"/>
    <n v="24468.84"/>
    <n v="0"/>
    <n v="0.72799999999999998"/>
    <n v="7"/>
    <x v="1"/>
  </r>
  <r>
    <x v="851"/>
    <s v="U7949"/>
    <n v="42025.39"/>
    <x v="0"/>
    <x v="1"/>
    <x v="0"/>
    <x v="1"/>
    <n v="743"/>
    <n v="9"/>
    <n v="1"/>
    <n v="10551.86"/>
    <n v="0"/>
    <n v="0.34399999999999997"/>
    <n v="3"/>
    <x v="1"/>
  </r>
  <r>
    <x v="852"/>
    <s v="U7531"/>
    <n v="6349.2"/>
    <x v="1"/>
    <x v="2"/>
    <x v="0"/>
    <x v="4"/>
    <n v="1616"/>
    <n v="14"/>
    <n v="3"/>
    <n v="22420.68"/>
    <n v="0"/>
    <n v="0.89200000000000002"/>
    <n v="2"/>
    <x v="1"/>
  </r>
  <r>
    <x v="853"/>
    <s v="U8254"/>
    <n v="9245.86"/>
    <x v="2"/>
    <x v="1"/>
    <x v="2"/>
    <x v="1"/>
    <n v="315"/>
    <n v="18"/>
    <n v="2"/>
    <n v="26131.77"/>
    <n v="0"/>
    <n v="0.28499999999999998"/>
    <n v="8"/>
    <x v="1"/>
  </r>
  <r>
    <x v="854"/>
    <s v="U5846"/>
    <n v="42550.1"/>
    <x v="2"/>
    <x v="1"/>
    <x v="0"/>
    <x v="2"/>
    <n v="1425"/>
    <n v="12"/>
    <n v="1"/>
    <n v="1187.51"/>
    <n v="0"/>
    <n v="0.56599999999999995"/>
    <n v="5"/>
    <x v="1"/>
  </r>
  <r>
    <x v="855"/>
    <s v="U8342"/>
    <n v="7373.4"/>
    <x v="1"/>
    <x v="3"/>
    <x v="0"/>
    <x v="2"/>
    <n v="1531"/>
    <n v="18"/>
    <n v="4"/>
    <n v="22444.560000000001"/>
    <n v="1"/>
    <n v="0.45100000000000001"/>
    <n v="1"/>
    <x v="1"/>
  </r>
  <r>
    <x v="856"/>
    <s v="U2580"/>
    <n v="43743.45"/>
    <x v="0"/>
    <x v="2"/>
    <x v="1"/>
    <x v="2"/>
    <n v="1069"/>
    <n v="17"/>
    <n v="2"/>
    <n v="29826.31"/>
    <n v="0"/>
    <n v="0.372"/>
    <n v="8"/>
    <x v="1"/>
  </r>
  <r>
    <x v="857"/>
    <s v="U2761"/>
    <n v="13436.46"/>
    <x v="1"/>
    <x v="2"/>
    <x v="2"/>
    <x v="0"/>
    <n v="1680"/>
    <n v="3"/>
    <n v="0"/>
    <n v="18511.34"/>
    <n v="0"/>
    <n v="0.96599999999999997"/>
    <n v="7"/>
    <x v="1"/>
  </r>
  <r>
    <x v="858"/>
    <s v="U1588"/>
    <n v="29059.39"/>
    <x v="0"/>
    <x v="3"/>
    <x v="0"/>
    <x v="3"/>
    <n v="1470"/>
    <n v="16"/>
    <n v="1"/>
    <n v="4146.66"/>
    <n v="0"/>
    <n v="0.94799999999999995"/>
    <n v="5"/>
    <x v="1"/>
  </r>
  <r>
    <x v="859"/>
    <s v="U4493"/>
    <n v="24862.33"/>
    <x v="1"/>
    <x v="3"/>
    <x v="1"/>
    <x v="0"/>
    <n v="1401"/>
    <n v="6"/>
    <n v="1"/>
    <n v="13618.04"/>
    <n v="0"/>
    <n v="3.6999999999999998E-2"/>
    <n v="2"/>
    <x v="1"/>
  </r>
  <r>
    <x v="860"/>
    <s v="U7336"/>
    <n v="6512.56"/>
    <x v="0"/>
    <x v="0"/>
    <x v="1"/>
    <x v="3"/>
    <n v="812"/>
    <n v="18"/>
    <n v="3"/>
    <n v="18888.11"/>
    <n v="0"/>
    <n v="0.60799999999999998"/>
    <n v="7"/>
    <x v="1"/>
  </r>
  <r>
    <x v="861"/>
    <s v="U6004"/>
    <n v="33337.040000000001"/>
    <x v="0"/>
    <x v="0"/>
    <x v="0"/>
    <x v="2"/>
    <n v="1743"/>
    <n v="9"/>
    <n v="1"/>
    <n v="25991.24"/>
    <n v="0"/>
    <n v="0.97699999999999998"/>
    <n v="5"/>
    <x v="1"/>
  </r>
  <r>
    <x v="862"/>
    <s v="U3438"/>
    <n v="14305.93"/>
    <x v="1"/>
    <x v="3"/>
    <x v="0"/>
    <x v="4"/>
    <n v="279"/>
    <n v="14"/>
    <n v="4"/>
    <n v="21105.360000000001"/>
    <n v="0"/>
    <n v="0.28799999999999998"/>
    <n v="1"/>
    <x v="1"/>
  </r>
  <r>
    <x v="863"/>
    <s v="U8840"/>
    <n v="11987.93"/>
    <x v="0"/>
    <x v="0"/>
    <x v="2"/>
    <x v="2"/>
    <n v="1509"/>
    <n v="21"/>
    <n v="3"/>
    <n v="21438.15"/>
    <n v="0"/>
    <n v="0.21199999999999999"/>
    <n v="4"/>
    <x v="1"/>
  </r>
  <r>
    <x v="864"/>
    <s v="U9997"/>
    <n v="30833.72"/>
    <x v="0"/>
    <x v="2"/>
    <x v="0"/>
    <x v="0"/>
    <n v="769"/>
    <n v="13"/>
    <n v="3"/>
    <n v="17255.61"/>
    <n v="0"/>
    <n v="0.35799999999999998"/>
    <n v="9"/>
    <x v="1"/>
  </r>
  <r>
    <x v="865"/>
    <s v="U7636"/>
    <n v="40556.21"/>
    <x v="2"/>
    <x v="0"/>
    <x v="0"/>
    <x v="0"/>
    <n v="886"/>
    <n v="5"/>
    <n v="0"/>
    <n v="25932.87"/>
    <n v="1"/>
    <n v="0.23899999999999999"/>
    <n v="4"/>
    <x v="1"/>
  </r>
  <r>
    <x v="866"/>
    <s v="U1475"/>
    <n v="48020.32"/>
    <x v="0"/>
    <x v="0"/>
    <x v="2"/>
    <x v="2"/>
    <n v="1722"/>
    <n v="23"/>
    <n v="1"/>
    <n v="4528.3999999999996"/>
    <n v="0"/>
    <n v="0.32800000000000001"/>
    <n v="2"/>
    <x v="1"/>
  </r>
  <r>
    <x v="867"/>
    <s v="U6349"/>
    <n v="27123.66"/>
    <x v="1"/>
    <x v="2"/>
    <x v="0"/>
    <x v="3"/>
    <n v="1220"/>
    <n v="14"/>
    <n v="1"/>
    <n v="26218.42"/>
    <n v="1"/>
    <n v="5.1999999999999998E-2"/>
    <n v="6"/>
    <x v="1"/>
  </r>
  <r>
    <x v="868"/>
    <s v="U7437"/>
    <n v="5006.92"/>
    <x v="2"/>
    <x v="2"/>
    <x v="0"/>
    <x v="2"/>
    <n v="727"/>
    <n v="7"/>
    <n v="2"/>
    <n v="26696.93"/>
    <n v="0"/>
    <n v="0.57699999999999996"/>
    <n v="8"/>
    <x v="1"/>
  </r>
  <r>
    <x v="869"/>
    <s v="U8219"/>
    <n v="25700.22"/>
    <x v="0"/>
    <x v="1"/>
    <x v="2"/>
    <x v="0"/>
    <n v="1930"/>
    <n v="15"/>
    <n v="3"/>
    <n v="5705.48"/>
    <n v="1"/>
    <n v="0.40699999999999997"/>
    <n v="6"/>
    <x v="1"/>
  </r>
  <r>
    <x v="870"/>
    <s v="U8508"/>
    <n v="16698.330000000002"/>
    <x v="1"/>
    <x v="1"/>
    <x v="2"/>
    <x v="3"/>
    <n v="629"/>
    <n v="0"/>
    <n v="3"/>
    <n v="887.41"/>
    <n v="0"/>
    <n v="0.13400000000000001"/>
    <n v="8"/>
    <x v="1"/>
  </r>
  <r>
    <x v="871"/>
    <s v="U2135"/>
    <n v="35479.339999999997"/>
    <x v="1"/>
    <x v="3"/>
    <x v="1"/>
    <x v="0"/>
    <n v="1128"/>
    <n v="15"/>
    <n v="2"/>
    <n v="13678.48"/>
    <n v="0"/>
    <n v="0.23200000000000001"/>
    <n v="8"/>
    <x v="1"/>
  </r>
  <r>
    <x v="872"/>
    <s v="U5408"/>
    <n v="28208.67"/>
    <x v="0"/>
    <x v="2"/>
    <x v="1"/>
    <x v="3"/>
    <n v="1612"/>
    <n v="16"/>
    <n v="0"/>
    <n v="10153.629999999999"/>
    <n v="0"/>
    <n v="0.86899999999999999"/>
    <n v="5"/>
    <x v="1"/>
  </r>
  <r>
    <x v="873"/>
    <s v="U1653"/>
    <n v="13523.64"/>
    <x v="2"/>
    <x v="1"/>
    <x v="2"/>
    <x v="0"/>
    <n v="1449"/>
    <n v="11"/>
    <n v="0"/>
    <n v="8737.94"/>
    <n v="0"/>
    <n v="0.307"/>
    <n v="9"/>
    <x v="1"/>
  </r>
  <r>
    <x v="874"/>
    <s v="U8277"/>
    <n v="5726.62"/>
    <x v="0"/>
    <x v="0"/>
    <x v="1"/>
    <x v="4"/>
    <n v="780"/>
    <n v="0"/>
    <n v="3"/>
    <n v="4088.4"/>
    <n v="0"/>
    <n v="0.16300000000000001"/>
    <n v="8"/>
    <x v="1"/>
  </r>
  <r>
    <x v="875"/>
    <s v="U4460"/>
    <n v="245.72"/>
    <x v="2"/>
    <x v="2"/>
    <x v="0"/>
    <x v="3"/>
    <n v="676"/>
    <n v="22"/>
    <n v="3"/>
    <n v="16284.59"/>
    <n v="0"/>
    <n v="0.61499999999999999"/>
    <n v="9"/>
    <x v="1"/>
  </r>
  <r>
    <x v="876"/>
    <s v="U2704"/>
    <n v="7605.65"/>
    <x v="2"/>
    <x v="2"/>
    <x v="1"/>
    <x v="3"/>
    <n v="380"/>
    <n v="18"/>
    <n v="3"/>
    <n v="18989.48"/>
    <n v="0"/>
    <n v="0.42899999999999999"/>
    <n v="7"/>
    <x v="1"/>
  </r>
  <r>
    <x v="877"/>
    <s v="U7097"/>
    <n v="18829.759999999998"/>
    <x v="2"/>
    <x v="1"/>
    <x v="0"/>
    <x v="1"/>
    <n v="169"/>
    <n v="3"/>
    <n v="2"/>
    <n v="22122.71"/>
    <n v="0"/>
    <n v="0.17599999999999999"/>
    <n v="5"/>
    <x v="1"/>
  </r>
  <r>
    <x v="878"/>
    <s v="U2789"/>
    <n v="43802.85"/>
    <x v="2"/>
    <x v="2"/>
    <x v="2"/>
    <x v="4"/>
    <n v="983"/>
    <n v="16"/>
    <n v="4"/>
    <n v="24400.93"/>
    <n v="0"/>
    <n v="0.72599999999999998"/>
    <n v="7"/>
    <x v="1"/>
  </r>
  <r>
    <x v="879"/>
    <s v="U3689"/>
    <n v="25637.42"/>
    <x v="1"/>
    <x v="1"/>
    <x v="2"/>
    <x v="1"/>
    <n v="1879"/>
    <n v="23"/>
    <n v="4"/>
    <n v="17529.23"/>
    <n v="0"/>
    <n v="0.66300000000000003"/>
    <n v="7"/>
    <x v="1"/>
  </r>
  <r>
    <x v="880"/>
    <s v="U8037"/>
    <n v="29009.58"/>
    <x v="1"/>
    <x v="3"/>
    <x v="2"/>
    <x v="1"/>
    <n v="1663"/>
    <n v="6"/>
    <n v="3"/>
    <n v="23704.86"/>
    <n v="0"/>
    <n v="0.96899999999999997"/>
    <n v="6"/>
    <x v="1"/>
  </r>
  <r>
    <x v="881"/>
    <s v="U3128"/>
    <n v="1671.92"/>
    <x v="1"/>
    <x v="3"/>
    <x v="0"/>
    <x v="2"/>
    <n v="338"/>
    <n v="1"/>
    <n v="2"/>
    <n v="11910.36"/>
    <n v="0"/>
    <n v="0.58099999999999996"/>
    <n v="2"/>
    <x v="1"/>
  </r>
  <r>
    <x v="882"/>
    <s v="U8519"/>
    <n v="17567.95"/>
    <x v="2"/>
    <x v="2"/>
    <x v="0"/>
    <x v="2"/>
    <n v="719"/>
    <n v="12"/>
    <n v="0"/>
    <n v="28483.45"/>
    <n v="0"/>
    <n v="0.98199999999999998"/>
    <n v="4"/>
    <x v="1"/>
  </r>
  <r>
    <x v="883"/>
    <s v="U6048"/>
    <n v="38653.360000000001"/>
    <x v="1"/>
    <x v="1"/>
    <x v="0"/>
    <x v="0"/>
    <n v="369"/>
    <n v="3"/>
    <n v="3"/>
    <n v="2185.06"/>
    <n v="1"/>
    <n v="0.41199999999999998"/>
    <n v="4"/>
    <x v="1"/>
  </r>
  <r>
    <x v="884"/>
    <s v="U3747"/>
    <n v="28949.27"/>
    <x v="0"/>
    <x v="3"/>
    <x v="2"/>
    <x v="0"/>
    <n v="1341"/>
    <n v="7"/>
    <n v="3"/>
    <n v="22011.11"/>
    <n v="0"/>
    <n v="0.624"/>
    <n v="1"/>
    <x v="1"/>
  </r>
  <r>
    <x v="885"/>
    <s v="U5294"/>
    <n v="8766.2000000000007"/>
    <x v="2"/>
    <x v="0"/>
    <x v="2"/>
    <x v="3"/>
    <n v="1120"/>
    <n v="11"/>
    <n v="4"/>
    <n v="2848.31"/>
    <n v="0"/>
    <n v="0.26100000000000001"/>
    <n v="1"/>
    <x v="1"/>
  </r>
  <r>
    <x v="886"/>
    <s v="U5701"/>
    <n v="36019.56"/>
    <x v="2"/>
    <x v="0"/>
    <x v="0"/>
    <x v="3"/>
    <n v="1996"/>
    <n v="5"/>
    <n v="1"/>
    <n v="584.54"/>
    <n v="0"/>
    <n v="0.1"/>
    <n v="4"/>
    <x v="1"/>
  </r>
  <r>
    <x v="887"/>
    <s v="U9349"/>
    <n v="42134.78"/>
    <x v="1"/>
    <x v="3"/>
    <x v="1"/>
    <x v="4"/>
    <n v="454"/>
    <n v="21"/>
    <n v="4"/>
    <n v="21357.24"/>
    <n v="0"/>
    <n v="0.17699999999999999"/>
    <n v="5"/>
    <x v="1"/>
  </r>
  <r>
    <x v="888"/>
    <s v="U5821"/>
    <n v="27493.119999999999"/>
    <x v="1"/>
    <x v="3"/>
    <x v="1"/>
    <x v="1"/>
    <n v="1056"/>
    <n v="1"/>
    <n v="2"/>
    <n v="2141.5100000000002"/>
    <n v="0"/>
    <n v="0.31"/>
    <n v="5"/>
    <x v="1"/>
  </r>
  <r>
    <x v="889"/>
    <s v="U4052"/>
    <n v="36190.550000000003"/>
    <x v="2"/>
    <x v="0"/>
    <x v="1"/>
    <x v="2"/>
    <n v="189"/>
    <n v="20"/>
    <n v="4"/>
    <n v="617.22"/>
    <n v="0"/>
    <n v="0.16800000000000001"/>
    <n v="2"/>
    <x v="1"/>
  </r>
  <r>
    <x v="890"/>
    <s v="U4406"/>
    <n v="23062.57"/>
    <x v="0"/>
    <x v="2"/>
    <x v="1"/>
    <x v="0"/>
    <n v="713"/>
    <n v="10"/>
    <n v="1"/>
    <n v="29648.73"/>
    <n v="0"/>
    <n v="0.93600000000000005"/>
    <n v="8"/>
    <x v="1"/>
  </r>
  <r>
    <x v="891"/>
    <s v="U2953"/>
    <n v="29833.119999999999"/>
    <x v="1"/>
    <x v="3"/>
    <x v="1"/>
    <x v="3"/>
    <n v="461"/>
    <n v="16"/>
    <n v="4"/>
    <n v="29406.54"/>
    <n v="1"/>
    <n v="0.86699999999999999"/>
    <n v="9"/>
    <x v="1"/>
  </r>
  <r>
    <x v="892"/>
    <s v="U1972"/>
    <n v="8255.31"/>
    <x v="0"/>
    <x v="0"/>
    <x v="0"/>
    <x v="4"/>
    <n v="1474"/>
    <n v="15"/>
    <n v="2"/>
    <n v="7130.34"/>
    <n v="1"/>
    <n v="0.97"/>
    <n v="5"/>
    <x v="1"/>
  </r>
  <r>
    <x v="893"/>
    <s v="U3191"/>
    <n v="37520.53"/>
    <x v="2"/>
    <x v="2"/>
    <x v="2"/>
    <x v="4"/>
    <n v="1715"/>
    <n v="19"/>
    <n v="0"/>
    <n v="24553.32"/>
    <n v="0"/>
    <n v="0.89700000000000002"/>
    <n v="3"/>
    <x v="1"/>
  </r>
  <r>
    <x v="894"/>
    <s v="U4821"/>
    <n v="19832.919999999998"/>
    <x v="2"/>
    <x v="0"/>
    <x v="1"/>
    <x v="2"/>
    <n v="181"/>
    <n v="1"/>
    <n v="4"/>
    <n v="14106.53"/>
    <n v="0"/>
    <n v="0.97399999999999998"/>
    <n v="8"/>
    <x v="1"/>
  </r>
  <r>
    <x v="895"/>
    <s v="U8896"/>
    <n v="47380.88"/>
    <x v="2"/>
    <x v="2"/>
    <x v="2"/>
    <x v="3"/>
    <n v="441"/>
    <n v="4"/>
    <n v="1"/>
    <n v="6638.97"/>
    <n v="0"/>
    <n v="0.40200000000000002"/>
    <n v="4"/>
    <x v="1"/>
  </r>
  <r>
    <x v="896"/>
    <s v="U1248"/>
    <n v="44087.69"/>
    <x v="0"/>
    <x v="1"/>
    <x v="0"/>
    <x v="0"/>
    <n v="65"/>
    <n v="21"/>
    <n v="3"/>
    <n v="7439.47"/>
    <n v="1"/>
    <n v="0.42399999999999999"/>
    <n v="3"/>
    <x v="1"/>
  </r>
  <r>
    <x v="897"/>
    <s v="U3045"/>
    <n v="2815.22"/>
    <x v="2"/>
    <x v="2"/>
    <x v="0"/>
    <x v="0"/>
    <n v="27"/>
    <n v="6"/>
    <n v="2"/>
    <n v="8438.57"/>
    <n v="0"/>
    <n v="0.61799999999999999"/>
    <n v="4"/>
    <x v="1"/>
  </r>
  <r>
    <x v="898"/>
    <s v="U9831"/>
    <n v="46704.95"/>
    <x v="0"/>
    <x v="2"/>
    <x v="2"/>
    <x v="1"/>
    <n v="1745"/>
    <n v="5"/>
    <n v="1"/>
    <n v="27882.65"/>
    <n v="0"/>
    <n v="4.4999999999999998E-2"/>
    <n v="4"/>
    <x v="1"/>
  </r>
  <r>
    <x v="899"/>
    <s v="U6389"/>
    <n v="31147.64"/>
    <x v="0"/>
    <x v="3"/>
    <x v="1"/>
    <x v="1"/>
    <n v="291"/>
    <n v="14"/>
    <n v="3"/>
    <n v="27345.68"/>
    <n v="0"/>
    <n v="0.41399999999999998"/>
    <n v="6"/>
    <x v="1"/>
  </r>
  <r>
    <x v="900"/>
    <s v="U7232"/>
    <n v="11683.45"/>
    <x v="0"/>
    <x v="3"/>
    <x v="0"/>
    <x v="1"/>
    <n v="1843"/>
    <n v="10"/>
    <n v="3"/>
    <n v="6090.84"/>
    <n v="0"/>
    <n v="2E-3"/>
    <n v="8"/>
    <x v="1"/>
  </r>
  <r>
    <x v="901"/>
    <s v="U6123"/>
    <n v="10629.32"/>
    <x v="1"/>
    <x v="2"/>
    <x v="2"/>
    <x v="2"/>
    <n v="663"/>
    <n v="21"/>
    <n v="4"/>
    <n v="7888.2"/>
    <n v="0"/>
    <n v="0.755"/>
    <n v="6"/>
    <x v="1"/>
  </r>
  <r>
    <x v="902"/>
    <s v="U1576"/>
    <n v="504.45"/>
    <x v="1"/>
    <x v="3"/>
    <x v="1"/>
    <x v="0"/>
    <n v="494"/>
    <n v="16"/>
    <n v="3"/>
    <n v="18997.53"/>
    <n v="0"/>
    <n v="0.44400000000000001"/>
    <n v="3"/>
    <x v="1"/>
  </r>
  <r>
    <x v="903"/>
    <s v="U8467"/>
    <n v="44419.199999999997"/>
    <x v="2"/>
    <x v="1"/>
    <x v="1"/>
    <x v="4"/>
    <n v="884"/>
    <n v="4"/>
    <n v="2"/>
    <n v="14632.35"/>
    <n v="0"/>
    <n v="0.32800000000000001"/>
    <n v="9"/>
    <x v="1"/>
  </r>
  <r>
    <x v="904"/>
    <s v="U6648"/>
    <n v="35665.06"/>
    <x v="1"/>
    <x v="2"/>
    <x v="0"/>
    <x v="1"/>
    <n v="1486"/>
    <n v="5"/>
    <n v="1"/>
    <n v="17956.97"/>
    <n v="0"/>
    <n v="0.14399999999999999"/>
    <n v="7"/>
    <x v="1"/>
  </r>
  <r>
    <x v="905"/>
    <s v="U6607"/>
    <n v="47761"/>
    <x v="0"/>
    <x v="1"/>
    <x v="2"/>
    <x v="0"/>
    <n v="981"/>
    <n v="4"/>
    <n v="4"/>
    <n v="13266.45"/>
    <n v="1"/>
    <n v="0.74199999999999999"/>
    <n v="6"/>
    <x v="1"/>
  </r>
  <r>
    <x v="906"/>
    <s v="U9936"/>
    <n v="12045.57"/>
    <x v="0"/>
    <x v="3"/>
    <x v="1"/>
    <x v="0"/>
    <n v="1347"/>
    <n v="2"/>
    <n v="3"/>
    <n v="23956.240000000002"/>
    <n v="0"/>
    <n v="0.38500000000000001"/>
    <n v="8"/>
    <x v="1"/>
  </r>
  <r>
    <x v="907"/>
    <s v="U9422"/>
    <n v="9231.4500000000007"/>
    <x v="2"/>
    <x v="2"/>
    <x v="1"/>
    <x v="2"/>
    <n v="1415"/>
    <n v="20"/>
    <n v="4"/>
    <n v="6249.7"/>
    <n v="0"/>
    <n v="0.95099999999999996"/>
    <n v="2"/>
    <x v="1"/>
  </r>
  <r>
    <x v="908"/>
    <s v="U5827"/>
    <n v="33474.25"/>
    <x v="0"/>
    <x v="3"/>
    <x v="2"/>
    <x v="3"/>
    <n v="1239"/>
    <n v="12"/>
    <n v="2"/>
    <n v="3026.52"/>
    <n v="0"/>
    <n v="0.65500000000000003"/>
    <n v="6"/>
    <x v="1"/>
  </r>
  <r>
    <x v="909"/>
    <s v="U6247"/>
    <n v="20544.669999999998"/>
    <x v="2"/>
    <x v="2"/>
    <x v="0"/>
    <x v="0"/>
    <n v="1364"/>
    <n v="12"/>
    <n v="3"/>
    <n v="16045.56"/>
    <n v="0"/>
    <n v="0.13100000000000001"/>
    <n v="1"/>
    <x v="1"/>
  </r>
  <r>
    <x v="910"/>
    <s v="U1036"/>
    <n v="27064.31"/>
    <x v="0"/>
    <x v="1"/>
    <x v="0"/>
    <x v="2"/>
    <n v="1845"/>
    <n v="19"/>
    <n v="1"/>
    <n v="9678.16"/>
    <n v="0"/>
    <n v="0.71699999999999997"/>
    <n v="5"/>
    <x v="1"/>
  </r>
  <r>
    <x v="911"/>
    <s v="U8582"/>
    <n v="13420.04"/>
    <x v="2"/>
    <x v="0"/>
    <x v="1"/>
    <x v="1"/>
    <n v="196"/>
    <n v="17"/>
    <n v="1"/>
    <n v="8112.25"/>
    <n v="1"/>
    <n v="0.97499999999999998"/>
    <n v="8"/>
    <x v="1"/>
  </r>
  <r>
    <x v="912"/>
    <s v="U3794"/>
    <n v="28635.58"/>
    <x v="0"/>
    <x v="0"/>
    <x v="2"/>
    <x v="1"/>
    <n v="155"/>
    <n v="6"/>
    <n v="1"/>
    <n v="26230.47"/>
    <n v="0"/>
    <n v="0.87"/>
    <n v="1"/>
    <x v="1"/>
  </r>
  <r>
    <x v="913"/>
    <s v="U6047"/>
    <n v="3209.51"/>
    <x v="2"/>
    <x v="3"/>
    <x v="0"/>
    <x v="2"/>
    <n v="1435"/>
    <n v="19"/>
    <n v="3"/>
    <n v="7553.01"/>
    <n v="0"/>
    <n v="0.49199999999999999"/>
    <n v="4"/>
    <x v="1"/>
  </r>
  <r>
    <x v="914"/>
    <s v="U6279"/>
    <n v="33868.04"/>
    <x v="1"/>
    <x v="2"/>
    <x v="0"/>
    <x v="4"/>
    <n v="1670"/>
    <n v="1"/>
    <n v="2"/>
    <n v="15309.44"/>
    <n v="0"/>
    <n v="0.84199999999999997"/>
    <n v="7"/>
    <x v="1"/>
  </r>
  <r>
    <x v="915"/>
    <s v="U5682"/>
    <n v="29823.39"/>
    <x v="2"/>
    <x v="0"/>
    <x v="1"/>
    <x v="0"/>
    <n v="12"/>
    <n v="10"/>
    <n v="0"/>
    <n v="14580.35"/>
    <n v="1"/>
    <n v="0.33100000000000002"/>
    <n v="7"/>
    <x v="1"/>
  </r>
  <r>
    <x v="916"/>
    <s v="U6800"/>
    <n v="40372.720000000001"/>
    <x v="2"/>
    <x v="2"/>
    <x v="0"/>
    <x v="3"/>
    <n v="1168"/>
    <n v="10"/>
    <n v="4"/>
    <n v="19845.490000000002"/>
    <n v="0"/>
    <n v="0.11600000000000001"/>
    <n v="7"/>
    <x v="1"/>
  </r>
  <r>
    <x v="917"/>
    <s v="U8497"/>
    <n v="14405.76"/>
    <x v="2"/>
    <x v="3"/>
    <x v="2"/>
    <x v="1"/>
    <n v="1526"/>
    <n v="23"/>
    <n v="2"/>
    <n v="17329.39"/>
    <n v="0"/>
    <n v="0.39"/>
    <n v="1"/>
    <x v="1"/>
  </r>
  <r>
    <x v="918"/>
    <s v="U9249"/>
    <n v="5686.39"/>
    <x v="0"/>
    <x v="3"/>
    <x v="0"/>
    <x v="2"/>
    <n v="742"/>
    <n v="15"/>
    <n v="4"/>
    <n v="19854.16"/>
    <n v="0"/>
    <n v="0.14399999999999999"/>
    <n v="2"/>
    <x v="1"/>
  </r>
  <r>
    <x v="919"/>
    <s v="U2334"/>
    <n v="36852.89"/>
    <x v="2"/>
    <x v="2"/>
    <x v="2"/>
    <x v="3"/>
    <n v="552"/>
    <n v="4"/>
    <n v="1"/>
    <n v="7038.78"/>
    <n v="0"/>
    <n v="7.8E-2"/>
    <n v="5"/>
    <x v="1"/>
  </r>
  <r>
    <x v="920"/>
    <s v="U7109"/>
    <n v="24120.91"/>
    <x v="1"/>
    <x v="0"/>
    <x v="2"/>
    <x v="3"/>
    <n v="954"/>
    <n v="22"/>
    <n v="4"/>
    <n v="11138.86"/>
    <n v="1"/>
    <n v="0.79400000000000004"/>
    <n v="3"/>
    <x v="1"/>
  </r>
  <r>
    <x v="921"/>
    <s v="U7720"/>
    <n v="46939.03"/>
    <x v="2"/>
    <x v="0"/>
    <x v="1"/>
    <x v="0"/>
    <n v="411"/>
    <n v="7"/>
    <n v="4"/>
    <n v="26161.19"/>
    <n v="1"/>
    <n v="0.88200000000000001"/>
    <n v="1"/>
    <x v="1"/>
  </r>
  <r>
    <x v="922"/>
    <s v="U1902"/>
    <n v="21344.6"/>
    <x v="0"/>
    <x v="3"/>
    <x v="1"/>
    <x v="2"/>
    <n v="1269"/>
    <n v="8"/>
    <n v="4"/>
    <n v="22927.8"/>
    <n v="0"/>
    <n v="0.95499999999999996"/>
    <n v="9"/>
    <x v="1"/>
  </r>
  <r>
    <x v="923"/>
    <s v="U7539"/>
    <n v="45930.15"/>
    <x v="2"/>
    <x v="3"/>
    <x v="0"/>
    <x v="4"/>
    <n v="1267"/>
    <n v="10"/>
    <n v="1"/>
    <n v="28780.63"/>
    <n v="0"/>
    <n v="0.67600000000000005"/>
    <n v="1"/>
    <x v="1"/>
  </r>
  <r>
    <x v="924"/>
    <s v="U3956"/>
    <n v="47901.07"/>
    <x v="1"/>
    <x v="2"/>
    <x v="2"/>
    <x v="1"/>
    <n v="938"/>
    <n v="12"/>
    <n v="2"/>
    <n v="28313.279999999999"/>
    <n v="0"/>
    <n v="0.17"/>
    <n v="2"/>
    <x v="1"/>
  </r>
  <r>
    <x v="925"/>
    <s v="U9402"/>
    <n v="4191.58"/>
    <x v="1"/>
    <x v="2"/>
    <x v="0"/>
    <x v="3"/>
    <n v="1477"/>
    <n v="1"/>
    <n v="4"/>
    <n v="21337.96"/>
    <n v="0"/>
    <n v="0.64100000000000001"/>
    <n v="1"/>
    <x v="1"/>
  </r>
  <r>
    <x v="926"/>
    <s v="U5999"/>
    <n v="42803.46"/>
    <x v="0"/>
    <x v="3"/>
    <x v="1"/>
    <x v="1"/>
    <n v="773"/>
    <n v="17"/>
    <n v="3"/>
    <n v="29791.98"/>
    <n v="1"/>
    <n v="0.20399999999999999"/>
    <n v="6"/>
    <x v="1"/>
  </r>
  <r>
    <x v="927"/>
    <s v="U7170"/>
    <n v="10383.25"/>
    <x v="0"/>
    <x v="3"/>
    <x v="2"/>
    <x v="3"/>
    <n v="868"/>
    <n v="4"/>
    <n v="4"/>
    <n v="2648.21"/>
    <n v="0"/>
    <n v="4.1000000000000002E-2"/>
    <n v="1"/>
    <x v="1"/>
  </r>
  <r>
    <x v="928"/>
    <s v="U9663"/>
    <n v="20832.73"/>
    <x v="1"/>
    <x v="0"/>
    <x v="1"/>
    <x v="1"/>
    <n v="1532"/>
    <n v="2"/>
    <n v="3"/>
    <n v="1496"/>
    <n v="0"/>
    <n v="0.92400000000000004"/>
    <n v="3"/>
    <x v="1"/>
  </r>
  <r>
    <x v="929"/>
    <s v="U8556"/>
    <n v="10807.2"/>
    <x v="0"/>
    <x v="0"/>
    <x v="2"/>
    <x v="0"/>
    <n v="1593"/>
    <n v="0"/>
    <n v="3"/>
    <n v="23266.05"/>
    <n v="0"/>
    <n v="0.48"/>
    <n v="4"/>
    <x v="1"/>
  </r>
  <r>
    <x v="930"/>
    <s v="U4331"/>
    <n v="32475.24"/>
    <x v="1"/>
    <x v="1"/>
    <x v="1"/>
    <x v="0"/>
    <n v="465"/>
    <n v="20"/>
    <n v="4"/>
    <n v="21024.7"/>
    <n v="0"/>
    <n v="0.81699999999999995"/>
    <n v="1"/>
    <x v="1"/>
  </r>
  <r>
    <x v="931"/>
    <s v="U9124"/>
    <n v="11472.1"/>
    <x v="2"/>
    <x v="1"/>
    <x v="1"/>
    <x v="3"/>
    <n v="912"/>
    <n v="22"/>
    <n v="3"/>
    <n v="9159.49"/>
    <n v="0"/>
    <n v="0.98099999999999998"/>
    <n v="2"/>
    <x v="1"/>
  </r>
  <r>
    <x v="932"/>
    <s v="U2703"/>
    <n v="47687.5"/>
    <x v="0"/>
    <x v="2"/>
    <x v="1"/>
    <x v="0"/>
    <n v="1613"/>
    <n v="20"/>
    <n v="2"/>
    <n v="18043.52"/>
    <n v="0"/>
    <n v="0.27600000000000002"/>
    <n v="4"/>
    <x v="1"/>
  </r>
  <r>
    <x v="933"/>
    <s v="U7774"/>
    <n v="33040.46"/>
    <x v="0"/>
    <x v="0"/>
    <x v="1"/>
    <x v="3"/>
    <n v="1442"/>
    <n v="3"/>
    <n v="2"/>
    <n v="13545.32"/>
    <n v="0"/>
    <n v="0.91500000000000004"/>
    <n v="5"/>
    <x v="1"/>
  </r>
  <r>
    <x v="934"/>
    <s v="U5291"/>
    <n v="41404.85"/>
    <x v="2"/>
    <x v="0"/>
    <x v="1"/>
    <x v="0"/>
    <n v="1590"/>
    <n v="12"/>
    <n v="1"/>
    <n v="29560.31"/>
    <n v="0"/>
    <n v="0.32"/>
    <n v="7"/>
    <x v="1"/>
  </r>
  <r>
    <x v="935"/>
    <s v="U3449"/>
    <n v="23561.759999999998"/>
    <x v="1"/>
    <x v="3"/>
    <x v="0"/>
    <x v="1"/>
    <n v="337"/>
    <n v="22"/>
    <n v="3"/>
    <n v="27324.31"/>
    <n v="0"/>
    <n v="0.96099999999999997"/>
    <n v="5"/>
    <x v="1"/>
  </r>
  <r>
    <x v="936"/>
    <s v="U6597"/>
    <n v="39643.49"/>
    <x v="0"/>
    <x v="3"/>
    <x v="2"/>
    <x v="0"/>
    <n v="811"/>
    <n v="8"/>
    <n v="2"/>
    <n v="15591.46"/>
    <n v="0"/>
    <n v="8.8999999999999996E-2"/>
    <n v="9"/>
    <x v="1"/>
  </r>
  <r>
    <x v="937"/>
    <s v="U6485"/>
    <n v="7653.8"/>
    <x v="0"/>
    <x v="1"/>
    <x v="1"/>
    <x v="0"/>
    <n v="1221"/>
    <n v="14"/>
    <n v="3"/>
    <n v="12306.7"/>
    <n v="1"/>
    <n v="7.3999999999999996E-2"/>
    <n v="1"/>
    <x v="1"/>
  </r>
  <r>
    <x v="938"/>
    <s v="U2675"/>
    <n v="22314.2"/>
    <x v="2"/>
    <x v="1"/>
    <x v="1"/>
    <x v="4"/>
    <n v="1730"/>
    <n v="14"/>
    <n v="4"/>
    <n v="14059.59"/>
    <n v="0"/>
    <n v="0.77300000000000002"/>
    <n v="9"/>
    <x v="1"/>
  </r>
  <r>
    <x v="939"/>
    <s v="U9003"/>
    <n v="36489.599999999999"/>
    <x v="0"/>
    <x v="2"/>
    <x v="0"/>
    <x v="4"/>
    <n v="1961"/>
    <n v="16"/>
    <n v="2"/>
    <n v="22337.55"/>
    <n v="0"/>
    <n v="0.47899999999999998"/>
    <n v="1"/>
    <x v="1"/>
  </r>
  <r>
    <x v="940"/>
    <s v="U4487"/>
    <n v="3767.7"/>
    <x v="1"/>
    <x v="0"/>
    <x v="0"/>
    <x v="1"/>
    <n v="1407"/>
    <n v="6"/>
    <n v="0"/>
    <n v="6700.86"/>
    <n v="0"/>
    <n v="3.9E-2"/>
    <n v="5"/>
    <x v="1"/>
  </r>
  <r>
    <x v="941"/>
    <s v="U9045"/>
    <n v="46165.03"/>
    <x v="1"/>
    <x v="2"/>
    <x v="0"/>
    <x v="3"/>
    <n v="173"/>
    <n v="15"/>
    <n v="4"/>
    <n v="13281.37"/>
    <n v="0"/>
    <n v="0.70299999999999996"/>
    <n v="9"/>
    <x v="1"/>
  </r>
  <r>
    <x v="942"/>
    <s v="U5825"/>
    <n v="6398.78"/>
    <x v="0"/>
    <x v="3"/>
    <x v="1"/>
    <x v="1"/>
    <n v="790"/>
    <n v="14"/>
    <n v="2"/>
    <n v="29169.5"/>
    <n v="0"/>
    <n v="0.36299999999999999"/>
    <n v="9"/>
    <x v="1"/>
  </r>
  <r>
    <x v="943"/>
    <s v="U3017"/>
    <n v="20824.89"/>
    <x v="0"/>
    <x v="2"/>
    <x v="2"/>
    <x v="3"/>
    <n v="1027"/>
    <n v="13"/>
    <n v="4"/>
    <n v="18811.259999999998"/>
    <n v="0"/>
    <n v="0.20100000000000001"/>
    <n v="1"/>
    <x v="1"/>
  </r>
  <r>
    <x v="944"/>
    <s v="U6081"/>
    <n v="40228.5"/>
    <x v="0"/>
    <x v="0"/>
    <x v="1"/>
    <x v="2"/>
    <n v="1331"/>
    <n v="5"/>
    <n v="4"/>
    <n v="16342.3"/>
    <n v="0"/>
    <n v="0.89100000000000001"/>
    <n v="3"/>
    <x v="1"/>
  </r>
  <r>
    <x v="945"/>
    <s v="U2948"/>
    <n v="13277.58"/>
    <x v="2"/>
    <x v="3"/>
    <x v="1"/>
    <x v="2"/>
    <n v="1571"/>
    <n v="13"/>
    <n v="2"/>
    <n v="4445.91"/>
    <n v="1"/>
    <n v="0.67600000000000005"/>
    <n v="6"/>
    <x v="1"/>
  </r>
  <r>
    <x v="946"/>
    <s v="U5023"/>
    <n v="30909.77"/>
    <x v="0"/>
    <x v="3"/>
    <x v="2"/>
    <x v="0"/>
    <n v="533"/>
    <n v="9"/>
    <n v="2"/>
    <n v="14019.7"/>
    <n v="0"/>
    <n v="0.82399999999999995"/>
    <n v="1"/>
    <x v="1"/>
  </r>
  <r>
    <x v="947"/>
    <s v="U3513"/>
    <n v="2645.71"/>
    <x v="2"/>
    <x v="3"/>
    <x v="2"/>
    <x v="1"/>
    <n v="889"/>
    <n v="0"/>
    <n v="3"/>
    <n v="19618.509999999998"/>
    <n v="0"/>
    <n v="0.68"/>
    <n v="1"/>
    <x v="1"/>
  </r>
  <r>
    <x v="948"/>
    <s v="U3289"/>
    <n v="13157.68"/>
    <x v="1"/>
    <x v="1"/>
    <x v="1"/>
    <x v="2"/>
    <n v="1823"/>
    <n v="10"/>
    <n v="2"/>
    <n v="10873.9"/>
    <n v="0"/>
    <n v="0.56699999999999995"/>
    <n v="2"/>
    <x v="1"/>
  </r>
  <r>
    <x v="949"/>
    <s v="U6265"/>
    <n v="11443.61"/>
    <x v="1"/>
    <x v="3"/>
    <x v="0"/>
    <x v="4"/>
    <n v="1821"/>
    <n v="19"/>
    <n v="4"/>
    <n v="24974.09"/>
    <n v="0"/>
    <n v="0.98399999999999999"/>
    <n v="5"/>
    <x v="1"/>
  </r>
  <r>
    <x v="950"/>
    <s v="U5713"/>
    <n v="19027.22"/>
    <x v="2"/>
    <x v="0"/>
    <x v="2"/>
    <x v="0"/>
    <n v="119"/>
    <n v="4"/>
    <n v="2"/>
    <n v="14224.74"/>
    <n v="0"/>
    <n v="0.96699999999999997"/>
    <n v="4"/>
    <x v="1"/>
  </r>
  <r>
    <x v="951"/>
    <s v="U2919"/>
    <n v="8861.77"/>
    <x v="0"/>
    <x v="3"/>
    <x v="1"/>
    <x v="1"/>
    <n v="848"/>
    <n v="15"/>
    <n v="4"/>
    <n v="17105.080000000002"/>
    <n v="0"/>
    <n v="0.68799999999999994"/>
    <n v="2"/>
    <x v="1"/>
  </r>
  <r>
    <x v="952"/>
    <s v="U6254"/>
    <n v="515.04999999999995"/>
    <x v="1"/>
    <x v="1"/>
    <x v="0"/>
    <x v="4"/>
    <n v="412"/>
    <n v="21"/>
    <n v="1"/>
    <n v="13137.36"/>
    <n v="0"/>
    <n v="0.51"/>
    <n v="3"/>
    <x v="1"/>
  </r>
  <r>
    <x v="953"/>
    <s v="U8553"/>
    <n v="45721.31"/>
    <x v="2"/>
    <x v="2"/>
    <x v="0"/>
    <x v="1"/>
    <n v="1889"/>
    <n v="17"/>
    <n v="2"/>
    <n v="24242.85"/>
    <n v="0"/>
    <n v="1.2999999999999999E-2"/>
    <n v="1"/>
    <x v="1"/>
  </r>
  <r>
    <x v="954"/>
    <s v="U4113"/>
    <n v="17782.009999999998"/>
    <x v="1"/>
    <x v="3"/>
    <x v="2"/>
    <x v="2"/>
    <n v="1817"/>
    <n v="5"/>
    <n v="1"/>
    <n v="16982.53"/>
    <n v="0"/>
    <n v="0.91500000000000004"/>
    <n v="3"/>
    <x v="1"/>
  </r>
  <r>
    <x v="955"/>
    <s v="U4226"/>
    <n v="6495.37"/>
    <x v="1"/>
    <x v="3"/>
    <x v="2"/>
    <x v="3"/>
    <n v="1460"/>
    <n v="23"/>
    <n v="3"/>
    <n v="2119.6799999999998"/>
    <n v="0"/>
    <n v="0.316"/>
    <n v="8"/>
    <x v="1"/>
  </r>
  <r>
    <x v="956"/>
    <s v="U6650"/>
    <n v="13771.52"/>
    <x v="0"/>
    <x v="0"/>
    <x v="0"/>
    <x v="0"/>
    <n v="121"/>
    <n v="10"/>
    <n v="0"/>
    <n v="8624.24"/>
    <n v="0"/>
    <n v="5.5E-2"/>
    <n v="6"/>
    <x v="1"/>
  </r>
  <r>
    <x v="957"/>
    <s v="U5414"/>
    <n v="49468.01"/>
    <x v="0"/>
    <x v="0"/>
    <x v="2"/>
    <x v="4"/>
    <n v="1054"/>
    <n v="17"/>
    <n v="2"/>
    <n v="15686.81"/>
    <n v="0"/>
    <n v="0.46100000000000002"/>
    <n v="9"/>
    <x v="1"/>
  </r>
  <r>
    <x v="958"/>
    <s v="U4827"/>
    <n v="2012.63"/>
    <x v="1"/>
    <x v="0"/>
    <x v="0"/>
    <x v="3"/>
    <n v="1721"/>
    <n v="13"/>
    <n v="0"/>
    <n v="13277.11"/>
    <n v="0"/>
    <n v="0.69199999999999995"/>
    <n v="7"/>
    <x v="1"/>
  </r>
  <r>
    <x v="959"/>
    <s v="U8927"/>
    <n v="2157.91"/>
    <x v="2"/>
    <x v="2"/>
    <x v="1"/>
    <x v="0"/>
    <n v="1556"/>
    <n v="22"/>
    <n v="1"/>
    <n v="25085.59"/>
    <n v="0"/>
    <n v="0.17399999999999999"/>
    <n v="6"/>
    <x v="1"/>
  </r>
  <r>
    <x v="960"/>
    <s v="U6579"/>
    <n v="24839.94"/>
    <x v="0"/>
    <x v="3"/>
    <x v="1"/>
    <x v="3"/>
    <n v="1848"/>
    <n v="19"/>
    <n v="3"/>
    <n v="24622.16"/>
    <n v="0"/>
    <n v="0.91500000000000004"/>
    <n v="4"/>
    <x v="1"/>
  </r>
  <r>
    <x v="961"/>
    <s v="U6223"/>
    <n v="42487.53"/>
    <x v="1"/>
    <x v="0"/>
    <x v="1"/>
    <x v="2"/>
    <n v="832"/>
    <n v="1"/>
    <n v="1"/>
    <n v="2005.96"/>
    <n v="0"/>
    <n v="0.18"/>
    <n v="3"/>
    <x v="1"/>
  </r>
  <r>
    <x v="962"/>
    <s v="U7896"/>
    <n v="6091.99"/>
    <x v="1"/>
    <x v="2"/>
    <x v="2"/>
    <x v="4"/>
    <n v="1971"/>
    <n v="15"/>
    <n v="0"/>
    <n v="25185.48"/>
    <n v="0"/>
    <n v="0.49299999999999999"/>
    <n v="5"/>
    <x v="1"/>
  </r>
  <r>
    <x v="963"/>
    <s v="U4006"/>
    <n v="8780.6"/>
    <x v="1"/>
    <x v="2"/>
    <x v="2"/>
    <x v="2"/>
    <n v="1427"/>
    <n v="13"/>
    <n v="3"/>
    <n v="2845.39"/>
    <n v="0"/>
    <n v="0.27600000000000002"/>
    <n v="9"/>
    <x v="1"/>
  </r>
  <r>
    <x v="964"/>
    <s v="U6706"/>
    <n v="26852.080000000002"/>
    <x v="2"/>
    <x v="2"/>
    <x v="2"/>
    <x v="1"/>
    <n v="1451"/>
    <n v="23"/>
    <n v="1"/>
    <n v="17863.009999999998"/>
    <n v="0"/>
    <n v="0.47299999999999998"/>
    <n v="3"/>
    <x v="1"/>
  </r>
  <r>
    <x v="965"/>
    <s v="U7783"/>
    <n v="24288.52"/>
    <x v="0"/>
    <x v="0"/>
    <x v="0"/>
    <x v="1"/>
    <n v="23"/>
    <n v="9"/>
    <n v="4"/>
    <n v="14294.75"/>
    <n v="0"/>
    <n v="0.41299999999999998"/>
    <n v="4"/>
    <x v="1"/>
  </r>
  <r>
    <x v="966"/>
    <s v="U3944"/>
    <n v="34519.26"/>
    <x v="2"/>
    <x v="2"/>
    <x v="2"/>
    <x v="1"/>
    <n v="1527"/>
    <n v="20"/>
    <n v="3"/>
    <n v="17741.98"/>
    <n v="0"/>
    <n v="0.59099999999999997"/>
    <n v="8"/>
    <x v="1"/>
  </r>
  <r>
    <x v="967"/>
    <s v="U4970"/>
    <n v="12838.26"/>
    <x v="1"/>
    <x v="2"/>
    <x v="0"/>
    <x v="3"/>
    <n v="417"/>
    <n v="22"/>
    <n v="3"/>
    <n v="6880.37"/>
    <n v="1"/>
    <n v="0.29699999999999999"/>
    <n v="7"/>
    <x v="1"/>
  </r>
  <r>
    <x v="968"/>
    <s v="U5699"/>
    <n v="5857.87"/>
    <x v="1"/>
    <x v="2"/>
    <x v="2"/>
    <x v="3"/>
    <n v="1864"/>
    <n v="5"/>
    <n v="0"/>
    <n v="20562.29"/>
    <n v="0"/>
    <n v="0.99099999999999999"/>
    <n v="7"/>
    <x v="1"/>
  </r>
  <r>
    <x v="969"/>
    <s v="U1625"/>
    <n v="20265.060000000001"/>
    <x v="2"/>
    <x v="0"/>
    <x v="0"/>
    <x v="0"/>
    <n v="104"/>
    <n v="23"/>
    <n v="3"/>
    <n v="10055.780000000001"/>
    <n v="0"/>
    <n v="0.97299999999999998"/>
    <n v="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243BBB-C851-420D-AA79-C08E29CB42D2}" name="Fraud by Device Typ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13:B17" firstHeaderRow="1" firstDataRow="1" firstDataCol="1" rowPageCount="1" colPageCount="1"/>
  <pivotFields count="15">
    <pivotField showAll="0"/>
    <pivotField showAll="0"/>
    <pivotField numFmtId="4" showAll="0"/>
    <pivotField showAll="0"/>
    <pivotField showAll="0">
      <items count="5">
        <item x="2"/>
        <item x="3"/>
        <item x="0"/>
        <item x="1"/>
        <item t="default"/>
      </items>
    </pivotField>
    <pivotField axis="axisRow" showAll="0">
      <items count="4">
        <item x="2"/>
        <item x="1"/>
        <item x="0"/>
        <item t="default"/>
      </items>
    </pivotField>
    <pivotField showAll="0">
      <items count="6">
        <item x="4"/>
        <item x="1"/>
        <item x="2"/>
        <item x="0"/>
        <item x="3"/>
        <item t="default"/>
      </items>
    </pivotField>
    <pivotField showAll="0"/>
    <pivotField showAll="0"/>
    <pivotField showAll="0"/>
    <pivotField numFmtId="4" showAll="0"/>
    <pivotField showAll="0"/>
    <pivotField showAll="0"/>
    <pivotField showAll="0"/>
    <pivotField axis="axisPage" dataField="1" multipleItemSelectionAllowed="1" showAll="0">
      <items count="5">
        <item m="1" x="2"/>
        <item m="1" x="3"/>
        <item h="1" x="0"/>
        <item x="1"/>
        <item t="default"/>
      </items>
    </pivotField>
  </pivotFields>
  <rowFields count="1">
    <field x="5"/>
  </rowFields>
  <rowItems count="4">
    <i>
      <x/>
    </i>
    <i>
      <x v="1"/>
    </i>
    <i>
      <x v="2"/>
    </i>
    <i t="grand">
      <x/>
    </i>
  </rowItems>
  <colItems count="1">
    <i/>
  </colItems>
  <pageFields count="1">
    <pageField fld="14" hier="-1"/>
  </pageFields>
  <dataFields count="1">
    <dataField name="Count of fraud_label" fld="14" subtotal="count" baseField="0" baseItem="0"/>
  </dataFields>
  <formats count="30">
    <format dxfId="1967">
      <pivotArea type="all" dataOnly="0" outline="0" fieldPosition="0"/>
    </format>
    <format dxfId="1966">
      <pivotArea outline="0" collapsedLevelsAreSubtotals="1" fieldPosition="0"/>
    </format>
    <format dxfId="1965">
      <pivotArea field="5" type="button" dataOnly="0" labelOnly="1" outline="0" axis="axisRow" fieldPosition="0"/>
    </format>
    <format dxfId="1964">
      <pivotArea dataOnly="0" labelOnly="1" fieldPosition="0">
        <references count="1">
          <reference field="5" count="0"/>
        </references>
      </pivotArea>
    </format>
    <format dxfId="1963">
      <pivotArea dataOnly="0" labelOnly="1" grandRow="1" outline="0" fieldPosition="0"/>
    </format>
    <format dxfId="1962">
      <pivotArea dataOnly="0" labelOnly="1" outline="0" axis="axisValues" fieldPosition="0"/>
    </format>
    <format dxfId="1961">
      <pivotArea type="all" dataOnly="0" outline="0" fieldPosition="0"/>
    </format>
    <format dxfId="1960">
      <pivotArea outline="0" collapsedLevelsAreSubtotals="1" fieldPosition="0"/>
    </format>
    <format dxfId="1959">
      <pivotArea field="5" type="button" dataOnly="0" labelOnly="1" outline="0" axis="axisRow" fieldPosition="0"/>
    </format>
    <format dxfId="1958">
      <pivotArea dataOnly="0" labelOnly="1" fieldPosition="0">
        <references count="1">
          <reference field="5" count="0"/>
        </references>
      </pivotArea>
    </format>
    <format dxfId="1957">
      <pivotArea dataOnly="0" labelOnly="1" grandRow="1" outline="0" fieldPosition="0"/>
    </format>
    <format dxfId="1956">
      <pivotArea dataOnly="0" labelOnly="1" outline="0" axis="axisValues" fieldPosition="0"/>
    </format>
    <format dxfId="1955">
      <pivotArea type="all" dataOnly="0" outline="0" fieldPosition="0"/>
    </format>
    <format dxfId="1954">
      <pivotArea outline="0" collapsedLevelsAreSubtotals="1" fieldPosition="0"/>
    </format>
    <format dxfId="1953">
      <pivotArea field="5" type="button" dataOnly="0" labelOnly="1" outline="0" axis="axisRow" fieldPosition="0"/>
    </format>
    <format dxfId="1952">
      <pivotArea dataOnly="0" labelOnly="1" fieldPosition="0">
        <references count="1">
          <reference field="5" count="0"/>
        </references>
      </pivotArea>
    </format>
    <format dxfId="1951">
      <pivotArea dataOnly="0" labelOnly="1" grandRow="1" outline="0" fieldPosition="0"/>
    </format>
    <format dxfId="1950">
      <pivotArea dataOnly="0" labelOnly="1" outline="0" axis="axisValues" fieldPosition="0"/>
    </format>
    <format dxfId="1949">
      <pivotArea type="all" dataOnly="0" outline="0" fieldPosition="0"/>
    </format>
    <format dxfId="1948">
      <pivotArea outline="0" collapsedLevelsAreSubtotals="1" fieldPosition="0"/>
    </format>
    <format dxfId="1947">
      <pivotArea field="5" type="button" dataOnly="0" labelOnly="1" outline="0" axis="axisRow" fieldPosition="0"/>
    </format>
    <format dxfId="1946">
      <pivotArea dataOnly="0" labelOnly="1" fieldPosition="0">
        <references count="1">
          <reference field="5" count="0"/>
        </references>
      </pivotArea>
    </format>
    <format dxfId="1945">
      <pivotArea dataOnly="0" labelOnly="1" grandRow="1" outline="0" fieldPosition="0"/>
    </format>
    <format dxfId="1944">
      <pivotArea dataOnly="0" labelOnly="1" outline="0" axis="axisValues" fieldPosition="0"/>
    </format>
    <format dxfId="1943">
      <pivotArea type="all" dataOnly="0" outline="0" fieldPosition="0"/>
    </format>
    <format dxfId="1942">
      <pivotArea outline="0" collapsedLevelsAreSubtotals="1" fieldPosition="0"/>
    </format>
    <format dxfId="1941">
      <pivotArea field="5" type="button" dataOnly="0" labelOnly="1" outline="0" axis="axisRow" fieldPosition="0"/>
    </format>
    <format dxfId="1940">
      <pivotArea dataOnly="0" labelOnly="1" fieldPosition="0">
        <references count="1">
          <reference field="5" count="0"/>
        </references>
      </pivotArea>
    </format>
    <format dxfId="1939">
      <pivotArea dataOnly="0" labelOnly="1" grandRow="1" outline="0" fieldPosition="0"/>
    </format>
    <format dxfId="1938">
      <pivotArea dataOnly="0" labelOnly="1" outline="0" axis="axisValues" fieldPosition="0"/>
    </format>
  </formats>
  <chartFormats count="4">
    <chartFormat chart="13" format="26" series="1">
      <pivotArea type="data" outline="0" fieldPosition="0">
        <references count="1">
          <reference field="4294967294" count="1" selected="0">
            <x v="0"/>
          </reference>
        </references>
      </pivotArea>
    </chartFormat>
    <chartFormat chart="13" format="27">
      <pivotArea type="data" outline="0" fieldPosition="0">
        <references count="2">
          <reference field="4294967294" count="1" selected="0">
            <x v="0"/>
          </reference>
          <reference field="5" count="1" selected="0">
            <x v="0"/>
          </reference>
        </references>
      </pivotArea>
    </chartFormat>
    <chartFormat chart="13" format="28">
      <pivotArea type="data" outline="0" fieldPosition="0">
        <references count="2">
          <reference field="4294967294" count="1" selected="0">
            <x v="0"/>
          </reference>
          <reference field="5" count="1" selected="0">
            <x v="1"/>
          </reference>
        </references>
      </pivotArea>
    </chartFormat>
    <chartFormat chart="13" format="29">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7D22BB-2A1B-4E2A-B338-CCE0ADB876E3}" name="PivotTable1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P4" firstHeaderRow="0" firstDataRow="1" firstDataCol="1"/>
  <pivotFields count="15">
    <pivotField dataField="1" showAll="0">
      <items count="971">
        <item x="0"/>
        <item x="9"/>
        <item x="99"/>
        <item x="100"/>
        <item x="544"/>
        <item x="101"/>
        <item x="102"/>
        <item x="545"/>
        <item x="103"/>
        <item x="104"/>
        <item x="105"/>
        <item x="106"/>
        <item x="546"/>
        <item x="107"/>
        <item x="547"/>
        <item x="108"/>
        <item x="10"/>
        <item x="109"/>
        <item x="548"/>
        <item x="110"/>
        <item x="549"/>
        <item x="550"/>
        <item x="111"/>
        <item x="551"/>
        <item x="112"/>
        <item x="113"/>
        <item x="114"/>
        <item x="552"/>
        <item x="553"/>
        <item x="115"/>
        <item x="554"/>
        <item x="116"/>
        <item x="117"/>
        <item x="118"/>
        <item x="555"/>
        <item x="11"/>
        <item x="119"/>
        <item x="120"/>
        <item x="556"/>
        <item x="557"/>
        <item x="121"/>
        <item x="122"/>
        <item x="123"/>
        <item x="124"/>
        <item x="558"/>
        <item x="125"/>
        <item x="126"/>
        <item x="559"/>
        <item x="127"/>
        <item x="128"/>
        <item x="560"/>
        <item x="12"/>
        <item x="129"/>
        <item x="561"/>
        <item x="130"/>
        <item x="131"/>
        <item x="562"/>
        <item x="563"/>
        <item x="132"/>
        <item x="133"/>
        <item x="564"/>
        <item x="134"/>
        <item x="135"/>
        <item x="136"/>
        <item x="137"/>
        <item x="138"/>
        <item x="565"/>
        <item x="13"/>
        <item x="139"/>
        <item x="140"/>
        <item x="141"/>
        <item x="566"/>
        <item x="142"/>
        <item x="567"/>
        <item x="143"/>
        <item x="568"/>
        <item x="569"/>
        <item x="570"/>
        <item x="144"/>
        <item x="571"/>
        <item x="145"/>
        <item x="572"/>
        <item x="146"/>
        <item x="573"/>
        <item x="147"/>
        <item x="148"/>
        <item x="14"/>
        <item x="149"/>
        <item x="574"/>
        <item x="150"/>
        <item x="575"/>
        <item x="151"/>
        <item x="576"/>
        <item x="577"/>
        <item x="152"/>
        <item x="153"/>
        <item x="578"/>
        <item x="579"/>
        <item x="580"/>
        <item x="154"/>
        <item x="155"/>
        <item x="581"/>
        <item x="582"/>
        <item x="156"/>
        <item x="583"/>
        <item x="157"/>
        <item x="158"/>
        <item x="584"/>
        <item x="15"/>
        <item x="159"/>
        <item x="585"/>
        <item x="160"/>
        <item x="161"/>
        <item x="586"/>
        <item x="162"/>
        <item x="587"/>
        <item x="163"/>
        <item x="164"/>
        <item x="165"/>
        <item x="166"/>
        <item x="588"/>
        <item x="589"/>
        <item x="167"/>
        <item x="590"/>
        <item x="591"/>
        <item x="168"/>
        <item x="592"/>
        <item x="16"/>
        <item x="169"/>
        <item x="170"/>
        <item x="593"/>
        <item x="171"/>
        <item x="594"/>
        <item x="172"/>
        <item x="595"/>
        <item x="596"/>
        <item x="173"/>
        <item x="597"/>
        <item x="174"/>
        <item x="598"/>
        <item x="175"/>
        <item x="599"/>
        <item x="600"/>
        <item x="176"/>
        <item x="601"/>
        <item x="177"/>
        <item x="602"/>
        <item x="603"/>
        <item x="604"/>
        <item x="605"/>
        <item x="178"/>
        <item x="17"/>
        <item x="179"/>
        <item x="180"/>
        <item x="606"/>
        <item x="181"/>
        <item x="607"/>
        <item x="182"/>
        <item x="608"/>
        <item x="609"/>
        <item x="183"/>
        <item x="610"/>
        <item x="184"/>
        <item x="611"/>
        <item x="612"/>
        <item x="185"/>
        <item x="613"/>
        <item x="186"/>
        <item x="187"/>
        <item x="188"/>
        <item x="614"/>
        <item x="18"/>
        <item x="189"/>
        <item x="190"/>
        <item x="615"/>
        <item x="616"/>
        <item x="617"/>
        <item x="191"/>
        <item x="192"/>
        <item x="618"/>
        <item x="619"/>
        <item x="193"/>
        <item x="194"/>
        <item x="195"/>
        <item x="196"/>
        <item x="197"/>
        <item x="198"/>
        <item x="1"/>
        <item x="19"/>
        <item x="199"/>
        <item x="620"/>
        <item x="621"/>
        <item x="200"/>
        <item x="622"/>
        <item x="201"/>
        <item x="623"/>
        <item x="624"/>
        <item x="202"/>
        <item x="625"/>
        <item x="203"/>
        <item x="626"/>
        <item x="204"/>
        <item x="627"/>
        <item x="205"/>
        <item x="206"/>
        <item x="628"/>
        <item x="207"/>
        <item x="629"/>
        <item x="208"/>
        <item x="20"/>
        <item x="209"/>
        <item x="210"/>
        <item x="630"/>
        <item x="211"/>
        <item x="212"/>
        <item x="213"/>
        <item x="214"/>
        <item x="631"/>
        <item x="632"/>
        <item x="215"/>
        <item x="633"/>
        <item x="216"/>
        <item x="634"/>
        <item x="217"/>
        <item x="218"/>
        <item x="635"/>
        <item x="21"/>
        <item x="219"/>
        <item x="636"/>
        <item x="220"/>
        <item x="637"/>
        <item x="221"/>
        <item x="222"/>
        <item x="223"/>
        <item x="224"/>
        <item x="225"/>
        <item x="638"/>
        <item x="226"/>
        <item x="227"/>
        <item x="228"/>
        <item x="22"/>
        <item x="229"/>
        <item x="639"/>
        <item x="230"/>
        <item x="640"/>
        <item x="231"/>
        <item x="232"/>
        <item x="233"/>
        <item x="641"/>
        <item x="234"/>
        <item x="235"/>
        <item x="236"/>
        <item x="642"/>
        <item x="237"/>
        <item x="238"/>
        <item x="23"/>
        <item x="239"/>
        <item x="240"/>
        <item x="643"/>
        <item x="241"/>
        <item x="242"/>
        <item x="243"/>
        <item x="644"/>
        <item x="244"/>
        <item x="645"/>
        <item x="646"/>
        <item x="245"/>
        <item x="246"/>
        <item x="247"/>
        <item x="248"/>
        <item x="24"/>
        <item x="249"/>
        <item x="250"/>
        <item x="251"/>
        <item x="647"/>
        <item x="648"/>
        <item x="252"/>
        <item x="649"/>
        <item x="253"/>
        <item x="254"/>
        <item x="650"/>
        <item x="255"/>
        <item x="256"/>
        <item x="651"/>
        <item x="257"/>
        <item x="258"/>
        <item x="652"/>
        <item x="25"/>
        <item x="259"/>
        <item x="653"/>
        <item x="260"/>
        <item x="261"/>
        <item x="262"/>
        <item x="263"/>
        <item x="264"/>
        <item x="654"/>
        <item x="655"/>
        <item x="265"/>
        <item x="656"/>
        <item x="266"/>
        <item x="657"/>
        <item x="267"/>
        <item x="658"/>
        <item x="268"/>
        <item x="659"/>
        <item x="26"/>
        <item x="269"/>
        <item x="270"/>
        <item x="271"/>
        <item x="272"/>
        <item x="660"/>
        <item x="273"/>
        <item x="274"/>
        <item x="661"/>
        <item x="275"/>
        <item x="276"/>
        <item x="662"/>
        <item x="277"/>
        <item x="663"/>
        <item x="664"/>
        <item x="665"/>
        <item x="666"/>
        <item x="278"/>
        <item x="27"/>
        <item x="279"/>
        <item x="667"/>
        <item x="280"/>
        <item x="281"/>
        <item x="668"/>
        <item x="282"/>
        <item x="283"/>
        <item x="284"/>
        <item x="669"/>
        <item x="670"/>
        <item x="285"/>
        <item x="286"/>
        <item x="287"/>
        <item x="671"/>
        <item x="288"/>
        <item x="28"/>
        <item x="289"/>
        <item x="290"/>
        <item x="672"/>
        <item x="291"/>
        <item x="292"/>
        <item x="673"/>
        <item x="293"/>
        <item x="674"/>
        <item x="294"/>
        <item x="295"/>
        <item x="296"/>
        <item x="297"/>
        <item x="675"/>
        <item x="298"/>
        <item x="2"/>
        <item x="29"/>
        <item x="299"/>
        <item x="300"/>
        <item x="676"/>
        <item x="301"/>
        <item x="677"/>
        <item x="302"/>
        <item x="303"/>
        <item x="678"/>
        <item x="679"/>
        <item x="304"/>
        <item x="305"/>
        <item x="680"/>
        <item x="306"/>
        <item x="681"/>
        <item x="682"/>
        <item x="307"/>
        <item x="683"/>
        <item x="684"/>
        <item x="308"/>
        <item x="685"/>
        <item x="30"/>
        <item x="309"/>
        <item x="686"/>
        <item x="310"/>
        <item x="311"/>
        <item x="312"/>
        <item x="313"/>
        <item x="687"/>
        <item x="314"/>
        <item x="688"/>
        <item x="689"/>
        <item x="315"/>
        <item x="316"/>
        <item x="317"/>
        <item x="318"/>
        <item x="31"/>
        <item x="319"/>
        <item x="690"/>
        <item x="320"/>
        <item x="321"/>
        <item x="322"/>
        <item x="691"/>
        <item x="692"/>
        <item x="323"/>
        <item x="693"/>
        <item x="324"/>
        <item x="694"/>
        <item x="325"/>
        <item x="326"/>
        <item x="327"/>
        <item x="328"/>
        <item x="32"/>
        <item x="329"/>
        <item x="330"/>
        <item x="695"/>
        <item x="696"/>
        <item x="331"/>
        <item x="697"/>
        <item x="332"/>
        <item x="698"/>
        <item x="333"/>
        <item x="334"/>
        <item x="335"/>
        <item x="699"/>
        <item x="336"/>
        <item x="700"/>
        <item x="701"/>
        <item x="337"/>
        <item x="338"/>
        <item x="702"/>
        <item x="33"/>
        <item x="339"/>
        <item x="703"/>
        <item x="340"/>
        <item x="341"/>
        <item x="342"/>
        <item x="343"/>
        <item x="344"/>
        <item x="704"/>
        <item x="705"/>
        <item x="345"/>
        <item x="346"/>
        <item x="347"/>
        <item x="348"/>
        <item x="34"/>
        <item x="349"/>
        <item x="706"/>
        <item x="350"/>
        <item x="707"/>
        <item x="708"/>
        <item x="351"/>
        <item x="709"/>
        <item x="352"/>
        <item x="353"/>
        <item x="710"/>
        <item x="354"/>
        <item x="355"/>
        <item x="711"/>
        <item x="356"/>
        <item x="357"/>
        <item x="712"/>
        <item x="358"/>
        <item x="713"/>
        <item x="35"/>
        <item x="359"/>
        <item x="714"/>
        <item x="360"/>
        <item x="715"/>
        <item x="361"/>
        <item x="362"/>
        <item x="363"/>
        <item x="716"/>
        <item x="364"/>
        <item x="717"/>
        <item x="718"/>
        <item x="365"/>
        <item x="366"/>
        <item x="367"/>
        <item x="719"/>
        <item x="368"/>
        <item x="720"/>
        <item x="721"/>
        <item x="36"/>
        <item x="369"/>
        <item x="722"/>
        <item x="723"/>
        <item x="370"/>
        <item x="724"/>
        <item x="371"/>
        <item x="725"/>
        <item x="372"/>
        <item x="373"/>
        <item x="726"/>
        <item x="374"/>
        <item x="727"/>
        <item x="728"/>
        <item x="375"/>
        <item x="729"/>
        <item x="376"/>
        <item x="377"/>
        <item x="378"/>
        <item x="730"/>
        <item x="37"/>
        <item x="379"/>
        <item x="380"/>
        <item x="731"/>
        <item x="381"/>
        <item x="732"/>
        <item x="382"/>
        <item x="383"/>
        <item x="733"/>
        <item x="384"/>
        <item x="385"/>
        <item x="386"/>
        <item x="387"/>
        <item x="734"/>
        <item x="388"/>
        <item x="38"/>
        <item x="389"/>
        <item x="735"/>
        <item x="390"/>
        <item x="736"/>
        <item x="737"/>
        <item x="391"/>
        <item x="392"/>
        <item x="393"/>
        <item x="738"/>
        <item x="739"/>
        <item x="740"/>
        <item x="394"/>
        <item x="395"/>
        <item x="396"/>
        <item x="397"/>
        <item x="398"/>
        <item x="741"/>
        <item x="3"/>
        <item x="39"/>
        <item x="399"/>
        <item x="742"/>
        <item x="400"/>
        <item x="401"/>
        <item x="402"/>
        <item x="743"/>
        <item x="403"/>
        <item x="744"/>
        <item x="404"/>
        <item x="745"/>
        <item x="405"/>
        <item x="746"/>
        <item x="406"/>
        <item x="407"/>
        <item x="408"/>
        <item x="40"/>
        <item x="409"/>
        <item x="410"/>
        <item x="411"/>
        <item x="412"/>
        <item x="747"/>
        <item x="413"/>
        <item x="748"/>
        <item x="414"/>
        <item x="749"/>
        <item x="415"/>
        <item x="416"/>
        <item x="417"/>
        <item x="750"/>
        <item x="418"/>
        <item x="751"/>
        <item x="41"/>
        <item x="419"/>
        <item x="752"/>
        <item x="420"/>
        <item x="421"/>
        <item x="422"/>
        <item x="753"/>
        <item x="423"/>
        <item x="424"/>
        <item x="754"/>
        <item x="425"/>
        <item x="426"/>
        <item x="427"/>
        <item x="755"/>
        <item x="756"/>
        <item x="757"/>
        <item x="428"/>
        <item x="758"/>
        <item x="759"/>
        <item x="42"/>
        <item x="429"/>
        <item x="760"/>
        <item x="761"/>
        <item x="762"/>
        <item x="430"/>
        <item x="763"/>
        <item x="431"/>
        <item x="432"/>
        <item x="764"/>
        <item x="433"/>
        <item x="765"/>
        <item x="434"/>
        <item x="766"/>
        <item x="435"/>
        <item x="767"/>
        <item x="768"/>
        <item x="769"/>
        <item x="436"/>
        <item x="437"/>
        <item x="438"/>
        <item x="43"/>
        <item x="439"/>
        <item x="770"/>
        <item x="440"/>
        <item x="771"/>
        <item x="772"/>
        <item x="773"/>
        <item x="441"/>
        <item x="774"/>
        <item x="442"/>
        <item x="443"/>
        <item x="775"/>
        <item x="776"/>
        <item x="444"/>
        <item x="445"/>
        <item x="777"/>
        <item x="446"/>
        <item x="447"/>
        <item x="778"/>
        <item x="448"/>
        <item x="44"/>
        <item x="449"/>
        <item x="779"/>
        <item x="450"/>
        <item x="451"/>
        <item x="780"/>
        <item x="452"/>
        <item x="453"/>
        <item x="781"/>
        <item x="782"/>
        <item x="454"/>
        <item x="783"/>
        <item x="784"/>
        <item x="455"/>
        <item x="456"/>
        <item x="785"/>
        <item x="457"/>
        <item x="786"/>
        <item x="787"/>
        <item x="458"/>
        <item x="45"/>
        <item x="459"/>
        <item x="460"/>
        <item x="461"/>
        <item x="462"/>
        <item x="463"/>
        <item x="788"/>
        <item x="464"/>
        <item x="465"/>
        <item x="789"/>
        <item x="466"/>
        <item x="467"/>
        <item x="790"/>
        <item x="468"/>
        <item x="46"/>
        <item x="469"/>
        <item x="791"/>
        <item x="470"/>
        <item x="471"/>
        <item x="792"/>
        <item x="472"/>
        <item x="473"/>
        <item x="793"/>
        <item x="794"/>
        <item x="474"/>
        <item x="795"/>
        <item x="475"/>
        <item x="796"/>
        <item x="476"/>
        <item x="477"/>
        <item x="478"/>
        <item x="47"/>
        <item x="479"/>
        <item x="480"/>
        <item x="481"/>
        <item x="482"/>
        <item x="797"/>
        <item x="798"/>
        <item x="483"/>
        <item x="799"/>
        <item x="484"/>
        <item x="800"/>
        <item x="485"/>
        <item x="486"/>
        <item x="801"/>
        <item x="487"/>
        <item x="802"/>
        <item x="488"/>
        <item x="803"/>
        <item x="48"/>
        <item x="489"/>
        <item x="804"/>
        <item x="490"/>
        <item x="491"/>
        <item x="492"/>
        <item x="493"/>
        <item x="805"/>
        <item x="806"/>
        <item x="494"/>
        <item x="495"/>
        <item x="496"/>
        <item x="807"/>
        <item x="497"/>
        <item x="498"/>
        <item x="808"/>
        <item x="809"/>
        <item x="4"/>
        <item x="49"/>
        <item x="499"/>
        <item x="500"/>
        <item x="810"/>
        <item x="811"/>
        <item x="501"/>
        <item x="502"/>
        <item x="503"/>
        <item x="812"/>
        <item x="813"/>
        <item x="504"/>
        <item x="814"/>
        <item x="505"/>
        <item x="506"/>
        <item x="815"/>
        <item x="816"/>
        <item x="507"/>
        <item x="508"/>
        <item x="817"/>
        <item x="50"/>
        <item x="509"/>
        <item x="510"/>
        <item x="818"/>
        <item x="511"/>
        <item x="819"/>
        <item x="512"/>
        <item x="820"/>
        <item x="513"/>
        <item x="514"/>
        <item x="821"/>
        <item x="515"/>
        <item x="822"/>
        <item x="516"/>
        <item x="823"/>
        <item x="824"/>
        <item x="825"/>
        <item x="51"/>
        <item x="517"/>
        <item x="826"/>
        <item x="827"/>
        <item x="828"/>
        <item x="829"/>
        <item x="52"/>
        <item x="830"/>
        <item x="518"/>
        <item x="831"/>
        <item x="832"/>
        <item x="833"/>
        <item x="834"/>
        <item x="53"/>
        <item x="835"/>
        <item x="836"/>
        <item x="837"/>
        <item x="838"/>
        <item x="839"/>
        <item x="840"/>
        <item x="841"/>
        <item x="54"/>
        <item x="842"/>
        <item x="843"/>
        <item x="844"/>
        <item x="845"/>
        <item x="846"/>
        <item x="55"/>
        <item x="847"/>
        <item x="848"/>
        <item x="849"/>
        <item x="850"/>
        <item x="851"/>
        <item x="852"/>
        <item x="853"/>
        <item x="854"/>
        <item x="855"/>
        <item x="56"/>
        <item x="856"/>
        <item x="857"/>
        <item x="57"/>
        <item x="858"/>
        <item x="859"/>
        <item x="58"/>
        <item x="860"/>
        <item x="861"/>
        <item x="862"/>
        <item x="863"/>
        <item x="864"/>
        <item x="865"/>
        <item x="866"/>
        <item x="867"/>
        <item x="5"/>
        <item x="59"/>
        <item x="868"/>
        <item x="869"/>
        <item x="870"/>
        <item x="871"/>
        <item x="872"/>
        <item x="60"/>
        <item x="873"/>
        <item x="874"/>
        <item x="875"/>
        <item x="876"/>
        <item x="877"/>
        <item x="878"/>
        <item x="879"/>
        <item x="880"/>
        <item x="881"/>
        <item x="61"/>
        <item x="882"/>
        <item x="883"/>
        <item x="884"/>
        <item x="885"/>
        <item x="886"/>
        <item x="887"/>
        <item x="888"/>
        <item x="62"/>
        <item x="889"/>
        <item x="890"/>
        <item x="891"/>
        <item x="892"/>
        <item x="893"/>
        <item x="63"/>
        <item x="894"/>
        <item x="895"/>
        <item x="896"/>
        <item x="897"/>
        <item x="898"/>
        <item x="899"/>
        <item x="64"/>
        <item x="900"/>
        <item x="901"/>
        <item x="519"/>
        <item x="902"/>
        <item x="903"/>
        <item x="904"/>
        <item x="905"/>
        <item x="906"/>
        <item x="907"/>
        <item x="908"/>
        <item x="909"/>
        <item x="65"/>
        <item x="910"/>
        <item x="911"/>
        <item x="912"/>
        <item x="913"/>
        <item x="914"/>
        <item x="66"/>
        <item x="915"/>
        <item x="916"/>
        <item x="917"/>
        <item x="520"/>
        <item x="918"/>
        <item x="919"/>
        <item x="920"/>
        <item x="921"/>
        <item x="521"/>
        <item x="67"/>
        <item x="922"/>
        <item x="923"/>
        <item x="924"/>
        <item x="925"/>
        <item x="926"/>
        <item x="927"/>
        <item x="68"/>
        <item x="522"/>
        <item x="928"/>
        <item x="929"/>
        <item x="930"/>
        <item x="931"/>
        <item x="932"/>
        <item x="933"/>
        <item x="934"/>
        <item x="935"/>
        <item x="6"/>
        <item x="69"/>
        <item x="936"/>
        <item x="937"/>
        <item x="938"/>
        <item x="523"/>
        <item x="939"/>
        <item x="940"/>
        <item x="941"/>
        <item x="942"/>
        <item x="70"/>
        <item x="524"/>
        <item x="525"/>
        <item x="943"/>
        <item x="944"/>
        <item x="945"/>
        <item x="946"/>
        <item x="947"/>
        <item x="948"/>
        <item x="949"/>
        <item x="950"/>
        <item x="526"/>
        <item x="951"/>
        <item x="71"/>
        <item x="527"/>
        <item x="952"/>
        <item x="953"/>
        <item x="954"/>
        <item x="72"/>
        <item x="955"/>
        <item x="956"/>
        <item x="957"/>
        <item x="958"/>
        <item x="959"/>
        <item x="960"/>
        <item x="961"/>
        <item x="962"/>
        <item x="963"/>
        <item x="964"/>
        <item x="73"/>
        <item x="528"/>
        <item x="965"/>
        <item x="966"/>
        <item x="967"/>
        <item x="968"/>
        <item x="969"/>
        <item x="74"/>
        <item x="75"/>
        <item x="529"/>
        <item x="76"/>
        <item x="77"/>
        <item x="78"/>
        <item x="530"/>
        <item x="7"/>
        <item x="79"/>
        <item x="531"/>
        <item x="80"/>
        <item x="532"/>
        <item x="81"/>
        <item x="82"/>
        <item x="533"/>
        <item x="83"/>
        <item x="534"/>
        <item x="535"/>
        <item x="84"/>
        <item x="536"/>
        <item x="85"/>
        <item x="86"/>
        <item x="537"/>
        <item x="87"/>
        <item x="538"/>
        <item x="88"/>
        <item x="8"/>
        <item x="89"/>
        <item x="90"/>
        <item x="91"/>
        <item x="92"/>
        <item x="539"/>
        <item x="93"/>
        <item x="94"/>
        <item x="540"/>
        <item x="95"/>
        <item x="541"/>
        <item x="542"/>
        <item x="96"/>
        <item x="543"/>
        <item x="97"/>
        <item x="98"/>
        <item t="default"/>
      </items>
    </pivotField>
    <pivotField showAll="0"/>
    <pivotField dataField="1" numFmtId="4" showAll="0"/>
    <pivotField showAll="0"/>
    <pivotField showAll="0"/>
    <pivotField showAll="0"/>
    <pivotField showAll="0"/>
    <pivotField showAll="0"/>
    <pivotField showAll="0"/>
    <pivotField showAll="0"/>
    <pivotField dataField="1" numFmtId="4" showAll="0"/>
    <pivotField showAll="0"/>
    <pivotField showAll="0"/>
    <pivotField showAll="0"/>
    <pivotField axis="axisRow" dataField="1" showAll="0">
      <items count="5">
        <item m="1" x="2"/>
        <item m="1" x="3"/>
        <item x="0"/>
        <item x="1"/>
        <item t="default"/>
      </items>
    </pivotField>
  </pivotFields>
  <rowFields count="1">
    <field x="14"/>
  </rowFields>
  <rowItems count="3">
    <i>
      <x v="2"/>
    </i>
    <i>
      <x v="3"/>
    </i>
    <i t="grand">
      <x/>
    </i>
  </rowItems>
  <colFields count="1">
    <field x="-2"/>
  </colFields>
  <colItems count="5">
    <i>
      <x/>
    </i>
    <i i="1">
      <x v="1"/>
    </i>
    <i i="2">
      <x v="2"/>
    </i>
    <i i="3">
      <x v="3"/>
    </i>
    <i i="4">
      <x v="4"/>
    </i>
  </colItems>
  <dataFields count="5">
    <dataField name="Count of transaction_id" fld="0" subtotal="count" baseField="0" baseItem="1"/>
    <dataField name="Count of fraud_label" fld="14" subtotal="count" showDataAs="percentOfTotal" baseField="0" baseItem="1" numFmtId="10"/>
    <dataField name="Sum of transaction_amount" fld="2" baseField="0" baseItem="0" numFmtId="4"/>
    <dataField name="Average of avg_transaction_amount" fld="10" subtotal="average" baseField="14" baseItem="2" numFmtId="4"/>
    <dataField name="Average of transaction_amount2" fld="2" subtotal="average" baseField="14" baseItem="2" numFmtId="4"/>
  </dataFields>
  <formats count="16">
    <format dxfId="1983">
      <pivotArea type="all" dataOnly="0" outline="0" fieldPosition="0"/>
    </format>
    <format dxfId="1982">
      <pivotArea outline="0" collapsedLevelsAreSubtotals="1" fieldPosition="0"/>
    </format>
    <format dxfId="1981">
      <pivotArea field="14" type="button" dataOnly="0" labelOnly="1" outline="0" axis="axisRow" fieldPosition="0"/>
    </format>
    <format dxfId="1980">
      <pivotArea dataOnly="0" labelOnly="1" fieldPosition="0">
        <references count="1">
          <reference field="14" count="0"/>
        </references>
      </pivotArea>
    </format>
    <format dxfId="1979">
      <pivotArea dataOnly="0" labelOnly="1" grandRow="1" outline="0" fieldPosition="0"/>
    </format>
    <format dxfId="1978">
      <pivotArea dataOnly="0" labelOnly="1" outline="0" fieldPosition="0">
        <references count="1">
          <reference field="4294967294" count="5">
            <x v="0"/>
            <x v="1"/>
            <x v="2"/>
            <x v="3"/>
            <x v="4"/>
          </reference>
        </references>
      </pivotArea>
    </format>
    <format dxfId="1977">
      <pivotArea field="14" type="button" dataOnly="0" labelOnly="1" outline="0" axis="axisRow" fieldPosition="0"/>
    </format>
    <format dxfId="1976">
      <pivotArea dataOnly="0" labelOnly="1" outline="0" fieldPosition="0">
        <references count="1">
          <reference field="4294967294" count="5">
            <x v="0"/>
            <x v="1"/>
            <x v="2"/>
            <x v="3"/>
            <x v="4"/>
          </reference>
        </references>
      </pivotArea>
    </format>
    <format dxfId="1975">
      <pivotArea field="14" type="button" dataOnly="0" labelOnly="1" outline="0" axis="axisRow" fieldPosition="0"/>
    </format>
    <format dxfId="1974">
      <pivotArea field="14" type="button" dataOnly="0" labelOnly="1" outline="0" axis="axisRow" fieldPosition="0"/>
    </format>
    <format dxfId="1973">
      <pivotArea type="all" dataOnly="0" outline="0" fieldPosition="0"/>
    </format>
    <format dxfId="1972">
      <pivotArea outline="0" collapsedLevelsAreSubtotals="1" fieldPosition="0"/>
    </format>
    <format dxfId="1971">
      <pivotArea field="14" type="button" dataOnly="0" labelOnly="1" outline="0" axis="axisRow" fieldPosition="0"/>
    </format>
    <format dxfId="1970">
      <pivotArea dataOnly="0" labelOnly="1" fieldPosition="0">
        <references count="1">
          <reference field="14" count="0"/>
        </references>
      </pivotArea>
    </format>
    <format dxfId="1969">
      <pivotArea dataOnly="0" labelOnly="1" grandRow="1" outline="0" fieldPosition="0"/>
    </format>
    <format dxfId="1968">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266672-459A-493B-A087-4E18A24AE37A}" name="Transaction By Hou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2">
  <location ref="D3:E28" firstHeaderRow="1" firstDataRow="1" firstDataCol="1" rowPageCount="1" colPageCount="1"/>
  <pivotFields count="15">
    <pivotField dataField="1" showAll="0"/>
    <pivotField showAll="0"/>
    <pivotField showAll="0"/>
    <pivotField showAll="0"/>
    <pivotField showAll="0"/>
    <pivotField showAll="0"/>
    <pivotField showAll="0"/>
    <pivotField showAll="0"/>
    <pivotField axis="axisRow" showAll="0">
      <items count="25">
        <item x="15"/>
        <item x="3"/>
        <item x="13"/>
        <item x="9"/>
        <item x="4"/>
        <item x="18"/>
        <item x="22"/>
        <item x="19"/>
        <item x="2"/>
        <item x="8"/>
        <item x="14"/>
        <item x="7"/>
        <item x="12"/>
        <item x="17"/>
        <item x="0"/>
        <item x="16"/>
        <item x="21"/>
        <item x="10"/>
        <item x="23"/>
        <item x="20"/>
        <item x="5"/>
        <item x="1"/>
        <item x="6"/>
        <item x="11"/>
        <item t="default"/>
      </items>
    </pivotField>
    <pivotField showAll="0"/>
    <pivotField showAll="0"/>
    <pivotField showAll="0"/>
    <pivotField showAll="0"/>
    <pivotField showAll="0"/>
    <pivotField axis="axisPage" numFmtId="49" multipleItemSelectionAllowed="1" showAll="0">
      <items count="4">
        <item h="1" x="1"/>
        <item x="2"/>
        <item h="1" x="0"/>
        <item t="default"/>
      </items>
    </pivotField>
  </pivotFields>
  <rowFields count="1">
    <field x="8"/>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pageFields count="1">
    <pageField fld="14" hier="-1"/>
  </pageFields>
  <dataFields count="1">
    <dataField name="Count of transaction_id" fld="0" subtotal="count" baseField="8" baseItem="0"/>
  </dataFields>
  <formats count="40">
    <format dxfId="2023">
      <pivotArea type="all" dataOnly="0" outline="0" fieldPosition="0"/>
    </format>
    <format dxfId="2022">
      <pivotArea outline="0" collapsedLevelsAreSubtotals="1" fieldPosition="0"/>
    </format>
    <format dxfId="2021">
      <pivotArea field="8" type="button" dataOnly="0" labelOnly="1" outline="0" axis="axisRow" fieldPosition="0"/>
    </format>
    <format dxfId="2020">
      <pivotArea dataOnly="0" labelOnly="1" fieldPosition="0">
        <references count="1">
          <reference field="8" count="0"/>
        </references>
      </pivotArea>
    </format>
    <format dxfId="2019">
      <pivotArea dataOnly="0" labelOnly="1" grandRow="1" outline="0" fieldPosition="0"/>
    </format>
    <format dxfId="2018">
      <pivotArea dataOnly="0" labelOnly="1" outline="0" axis="axisValues" fieldPosition="0"/>
    </format>
    <format dxfId="2017">
      <pivotArea type="all" dataOnly="0" outline="0" fieldPosition="0"/>
    </format>
    <format dxfId="2016">
      <pivotArea outline="0" collapsedLevelsAreSubtotals="1" fieldPosition="0"/>
    </format>
    <format dxfId="2015">
      <pivotArea field="8" type="button" dataOnly="0" labelOnly="1" outline="0" axis="axisRow" fieldPosition="0"/>
    </format>
    <format dxfId="2014">
      <pivotArea dataOnly="0" labelOnly="1" fieldPosition="0">
        <references count="1">
          <reference field="8" count="0"/>
        </references>
      </pivotArea>
    </format>
    <format dxfId="2013">
      <pivotArea dataOnly="0" labelOnly="1" grandRow="1" outline="0" fieldPosition="0"/>
    </format>
    <format dxfId="2012">
      <pivotArea dataOnly="0" labelOnly="1" outline="0" axis="axisValues" fieldPosition="0"/>
    </format>
    <format dxfId="2011">
      <pivotArea type="all" dataOnly="0" outline="0" fieldPosition="0"/>
    </format>
    <format dxfId="2010">
      <pivotArea outline="0" collapsedLevelsAreSubtotals="1" fieldPosition="0"/>
    </format>
    <format dxfId="2009">
      <pivotArea field="8" type="button" dataOnly="0" labelOnly="1" outline="0" axis="axisRow" fieldPosition="0"/>
    </format>
    <format dxfId="2008">
      <pivotArea dataOnly="0" labelOnly="1" fieldPosition="0">
        <references count="1">
          <reference field="8" count="0"/>
        </references>
      </pivotArea>
    </format>
    <format dxfId="2007">
      <pivotArea dataOnly="0" labelOnly="1" grandRow="1" outline="0" fieldPosition="0"/>
    </format>
    <format dxfId="2006">
      <pivotArea dataOnly="0" labelOnly="1" outline="0" axis="axisValues" fieldPosition="0"/>
    </format>
    <format dxfId="2005">
      <pivotArea type="all" dataOnly="0" outline="0" fieldPosition="0"/>
    </format>
    <format dxfId="2004">
      <pivotArea outline="0" collapsedLevelsAreSubtotals="1" fieldPosition="0"/>
    </format>
    <format dxfId="2003">
      <pivotArea field="8" type="button" dataOnly="0" labelOnly="1" outline="0" axis="axisRow" fieldPosition="0"/>
    </format>
    <format dxfId="2002">
      <pivotArea dataOnly="0" labelOnly="1" fieldPosition="0">
        <references count="1">
          <reference field="8" count="0"/>
        </references>
      </pivotArea>
    </format>
    <format dxfId="2001">
      <pivotArea dataOnly="0" labelOnly="1" grandRow="1" outline="0" fieldPosition="0"/>
    </format>
    <format dxfId="2000">
      <pivotArea dataOnly="0" labelOnly="1" outline="0" axis="axisValues" fieldPosition="0"/>
    </format>
    <format dxfId="1999">
      <pivotArea type="all" dataOnly="0" outline="0" fieldPosition="0"/>
    </format>
    <format dxfId="1998">
      <pivotArea outline="0" collapsedLevelsAreSubtotals="1" fieldPosition="0"/>
    </format>
    <format dxfId="1997">
      <pivotArea field="8" type="button" dataOnly="0" labelOnly="1" outline="0" axis="axisRow" fieldPosition="0"/>
    </format>
    <format dxfId="1996">
      <pivotArea dataOnly="0" labelOnly="1" fieldPosition="0">
        <references count="1">
          <reference field="8" count="0"/>
        </references>
      </pivotArea>
    </format>
    <format dxfId="1995">
      <pivotArea dataOnly="0" labelOnly="1" grandRow="1" outline="0" fieldPosition="0"/>
    </format>
    <format dxfId="1994">
      <pivotArea dataOnly="0" labelOnly="1" outline="0" axis="axisValues" fieldPosition="0"/>
    </format>
    <format dxfId="1993">
      <pivotArea collapsedLevelsAreSubtotals="1" fieldPosition="0">
        <references count="1">
          <reference field="8" count="1">
            <x v="3"/>
          </reference>
        </references>
      </pivotArea>
    </format>
    <format dxfId="1992">
      <pivotArea dataOnly="0" labelOnly="1" fieldPosition="0">
        <references count="1">
          <reference field="8" count="1">
            <x v="3"/>
          </reference>
        </references>
      </pivotArea>
    </format>
    <format dxfId="1991">
      <pivotArea collapsedLevelsAreSubtotals="1" fieldPosition="0">
        <references count="1">
          <reference field="8" count="1">
            <x v="3"/>
          </reference>
        </references>
      </pivotArea>
    </format>
    <format dxfId="1990">
      <pivotArea dataOnly="0" labelOnly="1" fieldPosition="0">
        <references count="1">
          <reference field="8" count="1">
            <x v="3"/>
          </reference>
        </references>
      </pivotArea>
    </format>
    <format dxfId="1989">
      <pivotArea type="all" dataOnly="0" outline="0" fieldPosition="0"/>
    </format>
    <format dxfId="1988">
      <pivotArea outline="0" collapsedLevelsAreSubtotals="1" fieldPosition="0"/>
    </format>
    <format dxfId="1987">
      <pivotArea field="8" type="button" dataOnly="0" labelOnly="1" outline="0" axis="axisRow" fieldPosition="0"/>
    </format>
    <format dxfId="1986">
      <pivotArea dataOnly="0" labelOnly="1" fieldPosition="0">
        <references count="1">
          <reference field="8" count="0"/>
        </references>
      </pivotArea>
    </format>
    <format dxfId="1985">
      <pivotArea dataOnly="0" labelOnly="1" grandRow="1" outline="0" fieldPosition="0"/>
    </format>
    <format dxfId="1984">
      <pivotArea dataOnly="0" labelOnly="1" outline="0" axis="axisValues" fieldPosition="0"/>
    </format>
  </formats>
  <chartFormats count="5">
    <chartFormat chart="6" format="2"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8" format="3"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 chart="7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CFC0B6-3B75-49B0-A7A2-A5E6A2334E59}" name="Frau by Payment Mod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3:B8" firstHeaderRow="1" firstDataRow="1" firstDataCol="1" rowPageCount="1" colPageCount="1"/>
  <pivotFields count="15">
    <pivotField showAll="0"/>
    <pivotField showAll="0"/>
    <pivotField numFmtId="4" showAll="0"/>
    <pivotField showAll="0">
      <items count="4">
        <item x="1"/>
        <item x="0"/>
        <item x="2"/>
        <item t="default"/>
      </items>
    </pivotField>
    <pivotField axis="axisRow" showAll="0">
      <items count="5">
        <item x="2"/>
        <item x="3"/>
        <item x="0"/>
        <item x="1"/>
        <item t="default"/>
      </items>
    </pivotField>
    <pivotField showAll="0">
      <items count="4">
        <item x="2"/>
        <item x="1"/>
        <item x="0"/>
        <item t="default"/>
      </items>
    </pivotField>
    <pivotField showAll="0">
      <items count="6">
        <item x="4"/>
        <item x="1"/>
        <item x="2"/>
        <item x="0"/>
        <item x="3"/>
        <item t="default"/>
      </items>
    </pivotField>
    <pivotField showAll="0"/>
    <pivotField showAll="0"/>
    <pivotField showAll="0"/>
    <pivotField numFmtId="4" showAll="0"/>
    <pivotField showAll="0"/>
    <pivotField showAll="0"/>
    <pivotField showAll="0"/>
    <pivotField axis="axisPage" dataField="1" multipleItemSelectionAllowed="1" showAll="0" sumSubtotal="1">
      <items count="5">
        <item m="1" x="2"/>
        <item m="1" x="3"/>
        <item h="1" x="0"/>
        <item x="1"/>
        <item t="sum"/>
      </items>
    </pivotField>
  </pivotFields>
  <rowFields count="1">
    <field x="4"/>
  </rowFields>
  <rowItems count="5">
    <i>
      <x/>
    </i>
    <i>
      <x v="1"/>
    </i>
    <i>
      <x v="2"/>
    </i>
    <i>
      <x v="3"/>
    </i>
    <i t="grand">
      <x/>
    </i>
  </rowItems>
  <colItems count="1">
    <i/>
  </colItems>
  <pageFields count="1">
    <pageField fld="14" hier="-1"/>
  </pageFields>
  <dataFields count="1">
    <dataField name="Count of fraud_label" fld="14" subtotal="count" baseField="4" baseItem="0"/>
  </dataFields>
  <formats count="34">
    <format dxfId="2057">
      <pivotArea type="all" dataOnly="0" outline="0" fieldPosition="0"/>
    </format>
    <format dxfId="2056">
      <pivotArea outline="0" collapsedLevelsAreSubtotals="1" fieldPosition="0"/>
    </format>
    <format dxfId="2055">
      <pivotArea field="4" type="button" dataOnly="0" labelOnly="1" outline="0" axis="axisRow" fieldPosition="0"/>
    </format>
    <format dxfId="2054">
      <pivotArea dataOnly="0" labelOnly="1" fieldPosition="0">
        <references count="1">
          <reference field="4" count="0"/>
        </references>
      </pivotArea>
    </format>
    <format dxfId="2053">
      <pivotArea dataOnly="0" labelOnly="1" grandRow="1" outline="0" fieldPosition="0"/>
    </format>
    <format dxfId="2052">
      <pivotArea dataOnly="0" labelOnly="1" outline="0" axis="axisValues" fieldPosition="0"/>
    </format>
    <format dxfId="2051">
      <pivotArea type="all" dataOnly="0" outline="0" fieldPosition="0"/>
    </format>
    <format dxfId="2050">
      <pivotArea outline="0" collapsedLevelsAreSubtotals="1" fieldPosition="0"/>
    </format>
    <format dxfId="2049">
      <pivotArea field="4" type="button" dataOnly="0" labelOnly="1" outline="0" axis="axisRow" fieldPosition="0"/>
    </format>
    <format dxfId="2048">
      <pivotArea dataOnly="0" labelOnly="1" fieldPosition="0">
        <references count="1">
          <reference field="4" count="0"/>
        </references>
      </pivotArea>
    </format>
    <format dxfId="2047">
      <pivotArea dataOnly="0" labelOnly="1" grandRow="1" outline="0" fieldPosition="0"/>
    </format>
    <format dxfId="2046">
      <pivotArea dataOnly="0" labelOnly="1" outline="0" axis="axisValues" fieldPosition="0"/>
    </format>
    <format dxfId="2045">
      <pivotArea type="all" dataOnly="0" outline="0" fieldPosition="0"/>
    </format>
    <format dxfId="2044">
      <pivotArea outline="0" collapsedLevelsAreSubtotals="1" fieldPosition="0"/>
    </format>
    <format dxfId="2043">
      <pivotArea field="4" type="button" dataOnly="0" labelOnly="1" outline="0" axis="axisRow" fieldPosition="0"/>
    </format>
    <format dxfId="2042">
      <pivotArea dataOnly="0" labelOnly="1" fieldPosition="0">
        <references count="1">
          <reference field="4" count="0"/>
        </references>
      </pivotArea>
    </format>
    <format dxfId="2041">
      <pivotArea dataOnly="0" labelOnly="1" grandRow="1" outline="0" fieldPosition="0"/>
    </format>
    <format dxfId="2040">
      <pivotArea dataOnly="0" labelOnly="1" outline="0" axis="axisValues" fieldPosition="0"/>
    </format>
    <format dxfId="2039">
      <pivotArea type="all" dataOnly="0" outline="0" fieldPosition="0"/>
    </format>
    <format dxfId="2038">
      <pivotArea outline="0" collapsedLevelsAreSubtotals="1" fieldPosition="0"/>
    </format>
    <format dxfId="2037">
      <pivotArea field="4" type="button" dataOnly="0" labelOnly="1" outline="0" axis="axisRow" fieldPosition="0"/>
    </format>
    <format dxfId="2036">
      <pivotArea dataOnly="0" labelOnly="1" fieldPosition="0">
        <references count="1">
          <reference field="4" count="0"/>
        </references>
      </pivotArea>
    </format>
    <format dxfId="2035">
      <pivotArea dataOnly="0" labelOnly="1" grandRow="1" outline="0" fieldPosition="0"/>
    </format>
    <format dxfId="2034">
      <pivotArea dataOnly="0" labelOnly="1" outline="0" axis="axisValues" fieldPosition="0"/>
    </format>
    <format dxfId="2033">
      <pivotArea collapsedLevelsAreSubtotals="1" fieldPosition="0">
        <references count="1">
          <reference field="4" count="1">
            <x v="3"/>
          </reference>
        </references>
      </pivotArea>
    </format>
    <format dxfId="2032">
      <pivotArea dataOnly="0" labelOnly="1" fieldPosition="0">
        <references count="1">
          <reference field="4" count="1">
            <x v="3"/>
          </reference>
        </references>
      </pivotArea>
    </format>
    <format dxfId="2031">
      <pivotArea collapsedLevelsAreSubtotals="1" fieldPosition="0">
        <references count="1">
          <reference field="4" count="1">
            <x v="3"/>
          </reference>
        </references>
      </pivotArea>
    </format>
    <format dxfId="2030">
      <pivotArea dataOnly="0" labelOnly="1" fieldPosition="0">
        <references count="1">
          <reference field="4" count="1">
            <x v="3"/>
          </reference>
        </references>
      </pivotArea>
    </format>
    <format dxfId="2029">
      <pivotArea type="all" dataOnly="0" outline="0" fieldPosition="0"/>
    </format>
    <format dxfId="2028">
      <pivotArea outline="0" collapsedLevelsAreSubtotals="1" fieldPosition="0"/>
    </format>
    <format dxfId="2027">
      <pivotArea field="4" type="button" dataOnly="0" labelOnly="1" outline="0" axis="axisRow" fieldPosition="0"/>
    </format>
    <format dxfId="2026">
      <pivotArea dataOnly="0" labelOnly="1" fieldPosition="0">
        <references count="1">
          <reference field="4" count="0"/>
        </references>
      </pivotArea>
    </format>
    <format dxfId="2025">
      <pivotArea dataOnly="0" labelOnly="1" grandRow="1" outline="0" fieldPosition="0"/>
    </format>
    <format dxfId="2024">
      <pivotArea dataOnly="0" labelOnly="1" outline="0" axis="axisValues" fieldPosition="0"/>
    </format>
  </formats>
  <chartFormats count="1">
    <chartFormat chart="50"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5732AE-C574-493C-9F31-BC712F459F99}" name="Transaction By City-Mode-Am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9">
  <location ref="G3:I29" firstHeaderRow="0" firstDataRow="1" firstDataCol="1" rowPageCount="1" colPageCount="1"/>
  <pivotFields count="15">
    <pivotField showAll="0"/>
    <pivotField showAll="0"/>
    <pivotField dataField="1" numFmtId="4" showAll="0"/>
    <pivotField showAll="0"/>
    <pivotField axis="axisRow" showAll="0">
      <items count="5">
        <item x="2"/>
        <item x="3"/>
        <item x="0"/>
        <item x="1"/>
        <item t="default"/>
      </items>
    </pivotField>
    <pivotField showAll="0"/>
    <pivotField axis="axisRow" showAll="0">
      <items count="6">
        <item x="4"/>
        <item x="1"/>
        <item x="2"/>
        <item x="0"/>
        <item x="3"/>
        <item t="default"/>
      </items>
    </pivotField>
    <pivotField showAll="0"/>
    <pivotField showAll="0"/>
    <pivotField showAll="0"/>
    <pivotField numFmtId="4" showAll="0"/>
    <pivotField showAll="0"/>
    <pivotField showAll="0"/>
    <pivotField showAll="0"/>
    <pivotField axis="axisPage" dataField="1" multipleItemSelectionAllowed="1" showAll="0">
      <items count="5">
        <item m="1" x="2"/>
        <item m="1" x="3"/>
        <item h="1" x="0"/>
        <item x="1"/>
        <item t="default"/>
      </items>
    </pivotField>
  </pivotFields>
  <rowFields count="2">
    <field x="6"/>
    <field x="4"/>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Fields count="1">
    <field x="-2"/>
  </colFields>
  <colItems count="2">
    <i>
      <x/>
    </i>
    <i i="1">
      <x v="1"/>
    </i>
  </colItems>
  <pageFields count="1">
    <pageField fld="14" hier="-1"/>
  </pageFields>
  <dataFields count="2">
    <dataField name="Count of fraud_label" fld="14" subtotal="count" baseField="6" baseItem="0"/>
    <dataField name="Sum of transaction_amount" fld="2" baseField="6" baseItem="0" numFmtId="4"/>
  </dataFields>
  <formats count="26">
    <format dxfId="2083">
      <pivotArea type="all" dataOnly="0" outline="0" fieldPosition="0"/>
    </format>
    <format dxfId="2082">
      <pivotArea outline="0" collapsedLevelsAreSubtotals="1" fieldPosition="0"/>
    </format>
    <format dxfId="2081">
      <pivotArea field="6" type="button" dataOnly="0" labelOnly="1" outline="0" axis="axisRow" fieldPosition="0"/>
    </format>
    <format dxfId="2080">
      <pivotArea dataOnly="0" labelOnly="1" fieldPosition="0">
        <references count="1">
          <reference field="6" count="0"/>
        </references>
      </pivotArea>
    </format>
    <format dxfId="2079">
      <pivotArea dataOnly="0" labelOnly="1" grandRow="1" outline="0" fieldPosition="0"/>
    </format>
    <format dxfId="2078">
      <pivotArea dataOnly="0" labelOnly="1" fieldPosition="0">
        <references count="2">
          <reference field="4" count="0"/>
          <reference field="6" count="1" selected="0">
            <x v="0"/>
          </reference>
        </references>
      </pivotArea>
    </format>
    <format dxfId="2077">
      <pivotArea dataOnly="0" labelOnly="1" fieldPosition="0">
        <references count="2">
          <reference field="4" count="0"/>
          <reference field="6" count="1" selected="0">
            <x v="1"/>
          </reference>
        </references>
      </pivotArea>
    </format>
    <format dxfId="2076">
      <pivotArea dataOnly="0" labelOnly="1" fieldPosition="0">
        <references count="2">
          <reference field="4" count="0"/>
          <reference field="6" count="1" selected="0">
            <x v="2"/>
          </reference>
        </references>
      </pivotArea>
    </format>
    <format dxfId="2075">
      <pivotArea dataOnly="0" labelOnly="1" fieldPosition="0">
        <references count="2">
          <reference field="4" count="0"/>
          <reference field="6" count="1" selected="0">
            <x v="3"/>
          </reference>
        </references>
      </pivotArea>
    </format>
    <format dxfId="2074">
      <pivotArea dataOnly="0" labelOnly="1" fieldPosition="0">
        <references count="2">
          <reference field="4" count="0"/>
          <reference field="6" count="1" selected="0">
            <x v="4"/>
          </reference>
        </references>
      </pivotArea>
    </format>
    <format dxfId="2073">
      <pivotArea dataOnly="0" labelOnly="1" outline="0" fieldPosition="0">
        <references count="1">
          <reference field="4294967294" count="2">
            <x v="0"/>
            <x v="1"/>
          </reference>
        </references>
      </pivotArea>
    </format>
    <format dxfId="2072">
      <pivotArea collapsedLevelsAreSubtotals="1" fieldPosition="0">
        <references count="2">
          <reference field="4" count="1">
            <x v="2"/>
          </reference>
          <reference field="6" count="1" selected="0">
            <x v="0"/>
          </reference>
        </references>
      </pivotArea>
    </format>
    <format dxfId="2071">
      <pivotArea dataOnly="0" labelOnly="1" fieldPosition="0">
        <references count="2">
          <reference field="4" count="1">
            <x v="2"/>
          </reference>
          <reference field="6" count="1" selected="0">
            <x v="0"/>
          </reference>
        </references>
      </pivotArea>
    </format>
    <format dxfId="2070">
      <pivotArea collapsedLevelsAreSubtotals="1" fieldPosition="0">
        <references count="2">
          <reference field="4" count="1">
            <x v="2"/>
          </reference>
          <reference field="6" count="1" selected="0">
            <x v="0"/>
          </reference>
        </references>
      </pivotArea>
    </format>
    <format dxfId="2069">
      <pivotArea dataOnly="0" labelOnly="1" fieldPosition="0">
        <references count="2">
          <reference field="4" count="1">
            <x v="2"/>
          </reference>
          <reference field="6" count="1" selected="0">
            <x v="0"/>
          </reference>
        </references>
      </pivotArea>
    </format>
    <format dxfId="2068">
      <pivotArea type="all" dataOnly="0" outline="0" fieldPosition="0"/>
    </format>
    <format dxfId="2067">
      <pivotArea outline="0" collapsedLevelsAreSubtotals="1" fieldPosition="0"/>
    </format>
    <format dxfId="2066">
      <pivotArea field="6" type="button" dataOnly="0" labelOnly="1" outline="0" axis="axisRow" fieldPosition="0"/>
    </format>
    <format dxfId="2065">
      <pivotArea dataOnly="0" labelOnly="1" fieldPosition="0">
        <references count="1">
          <reference field="6" count="0"/>
        </references>
      </pivotArea>
    </format>
    <format dxfId="2064">
      <pivotArea dataOnly="0" labelOnly="1" grandRow="1" outline="0" fieldPosition="0"/>
    </format>
    <format dxfId="2063">
      <pivotArea dataOnly="0" labelOnly="1" fieldPosition="0">
        <references count="2">
          <reference field="4" count="0"/>
          <reference field="6" count="1" selected="0">
            <x v="0"/>
          </reference>
        </references>
      </pivotArea>
    </format>
    <format dxfId="2062">
      <pivotArea dataOnly="0" labelOnly="1" fieldPosition="0">
        <references count="2">
          <reference field="4" count="0"/>
          <reference field="6" count="1" selected="0">
            <x v="1"/>
          </reference>
        </references>
      </pivotArea>
    </format>
    <format dxfId="2061">
      <pivotArea dataOnly="0" labelOnly="1" fieldPosition="0">
        <references count="2">
          <reference field="4" count="0"/>
          <reference field="6" count="1" selected="0">
            <x v="2"/>
          </reference>
        </references>
      </pivotArea>
    </format>
    <format dxfId="2060">
      <pivotArea dataOnly="0" labelOnly="1" fieldPosition="0">
        <references count="2">
          <reference field="4" count="0"/>
          <reference field="6" count="1" selected="0">
            <x v="3"/>
          </reference>
        </references>
      </pivotArea>
    </format>
    <format dxfId="2059">
      <pivotArea dataOnly="0" labelOnly="1" fieldPosition="0">
        <references count="2">
          <reference field="4" count="0"/>
          <reference field="6" count="1" selected="0">
            <x v="4"/>
          </reference>
        </references>
      </pivotArea>
    </format>
    <format dxfId="2058">
      <pivotArea dataOnly="0" labelOnly="1" outline="0" fieldPosition="0">
        <references count="1">
          <reference field="4294967294" count="2">
            <x v="0"/>
            <x v="1"/>
          </reference>
        </references>
      </pivotArea>
    </format>
  </formats>
  <chartFormats count="2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3">
          <reference field="4294967294" count="1" selected="0">
            <x v="1"/>
          </reference>
          <reference field="4" count="1" selected="0">
            <x v="0"/>
          </reference>
          <reference field="6" count="1" selected="0">
            <x v="0"/>
          </reference>
        </references>
      </pivotArea>
    </chartFormat>
    <chartFormat chart="2" format="7">
      <pivotArea type="data" outline="0" fieldPosition="0">
        <references count="3">
          <reference field="4294967294" count="1" selected="0">
            <x v="1"/>
          </reference>
          <reference field="4" count="1" selected="0">
            <x v="1"/>
          </reference>
          <reference field="6" count="1" selected="0">
            <x v="0"/>
          </reference>
        </references>
      </pivotArea>
    </chartFormat>
    <chartFormat chart="2" format="8">
      <pivotArea type="data" outline="0" fieldPosition="0">
        <references count="3">
          <reference field="4294967294" count="1" selected="0">
            <x v="1"/>
          </reference>
          <reference field="4" count="1" selected="0">
            <x v="2"/>
          </reference>
          <reference field="6" count="1" selected="0">
            <x v="0"/>
          </reference>
        </references>
      </pivotArea>
    </chartFormat>
    <chartFormat chart="2" format="9">
      <pivotArea type="data" outline="0" fieldPosition="0">
        <references count="3">
          <reference field="4294967294" count="1" selected="0">
            <x v="1"/>
          </reference>
          <reference field="4" count="1" selected="0">
            <x v="3"/>
          </reference>
          <reference field="6" count="1" selected="0">
            <x v="0"/>
          </reference>
        </references>
      </pivotArea>
    </chartFormat>
    <chartFormat chart="2" format="10">
      <pivotArea type="data" outline="0" fieldPosition="0">
        <references count="3">
          <reference field="4294967294" count="1" selected="0">
            <x v="1"/>
          </reference>
          <reference field="4" count="1" selected="0">
            <x v="0"/>
          </reference>
          <reference field="6" count="1" selected="0">
            <x v="1"/>
          </reference>
        </references>
      </pivotArea>
    </chartFormat>
    <chartFormat chart="2" format="11">
      <pivotArea type="data" outline="0" fieldPosition="0">
        <references count="3">
          <reference field="4294967294" count="1" selected="0">
            <x v="1"/>
          </reference>
          <reference field="4" count="1" selected="0">
            <x v="1"/>
          </reference>
          <reference field="6" count="1" selected="0">
            <x v="1"/>
          </reference>
        </references>
      </pivotArea>
    </chartFormat>
    <chartFormat chart="2" format="12">
      <pivotArea type="data" outline="0" fieldPosition="0">
        <references count="3">
          <reference field="4294967294" count="1" selected="0">
            <x v="1"/>
          </reference>
          <reference field="4" count="1" selected="0">
            <x v="2"/>
          </reference>
          <reference field="6" count="1" selected="0">
            <x v="1"/>
          </reference>
        </references>
      </pivotArea>
    </chartFormat>
    <chartFormat chart="2" format="13">
      <pivotArea type="data" outline="0" fieldPosition="0">
        <references count="3">
          <reference field="4294967294" count="1" selected="0">
            <x v="1"/>
          </reference>
          <reference field="4" count="1" selected="0">
            <x v="3"/>
          </reference>
          <reference field="6" count="1" selected="0">
            <x v="1"/>
          </reference>
        </references>
      </pivotArea>
    </chartFormat>
    <chartFormat chart="2" format="14">
      <pivotArea type="data" outline="0" fieldPosition="0">
        <references count="3">
          <reference field="4294967294" count="1" selected="0">
            <x v="1"/>
          </reference>
          <reference field="4" count="1" selected="0">
            <x v="3"/>
          </reference>
          <reference field="6" count="1" selected="0">
            <x v="4"/>
          </reference>
        </references>
      </pivotArea>
    </chartFormat>
    <chartFormat chart="2" format="15">
      <pivotArea type="data" outline="0" fieldPosition="0">
        <references count="3">
          <reference field="4294967294" count="1" selected="0">
            <x v="1"/>
          </reference>
          <reference field="4" count="1" selected="0">
            <x v="2"/>
          </reference>
          <reference field="6" count="1" selected="0">
            <x v="4"/>
          </reference>
        </references>
      </pivotArea>
    </chartFormat>
    <chartFormat chart="2" format="16">
      <pivotArea type="data" outline="0" fieldPosition="0">
        <references count="3">
          <reference field="4294967294" count="1" selected="0">
            <x v="1"/>
          </reference>
          <reference field="4" count="1" selected="0">
            <x v="1"/>
          </reference>
          <reference field="6" count="1" selected="0">
            <x v="4"/>
          </reference>
        </references>
      </pivotArea>
    </chartFormat>
    <chartFormat chart="2" format="17">
      <pivotArea type="data" outline="0" fieldPosition="0">
        <references count="3">
          <reference field="4294967294" count="1" selected="0">
            <x v="1"/>
          </reference>
          <reference field="4" count="1" selected="0">
            <x v="0"/>
          </reference>
          <reference field="6" count="1" selected="0">
            <x v="4"/>
          </reference>
        </references>
      </pivotArea>
    </chartFormat>
    <chartFormat chart="2" format="18">
      <pivotArea type="data" outline="0" fieldPosition="0">
        <references count="3">
          <reference field="4294967294" count="1" selected="0">
            <x v="1"/>
          </reference>
          <reference field="4" count="1" selected="0">
            <x v="3"/>
          </reference>
          <reference field="6" count="1" selected="0">
            <x v="3"/>
          </reference>
        </references>
      </pivotArea>
    </chartFormat>
    <chartFormat chart="2" format="19">
      <pivotArea type="data" outline="0" fieldPosition="0">
        <references count="3">
          <reference field="4294967294" count="1" selected="0">
            <x v="1"/>
          </reference>
          <reference field="4" count="1" selected="0">
            <x v="2"/>
          </reference>
          <reference field="6" count="1" selected="0">
            <x v="3"/>
          </reference>
        </references>
      </pivotArea>
    </chartFormat>
    <chartFormat chart="2" format="20">
      <pivotArea type="data" outline="0" fieldPosition="0">
        <references count="3">
          <reference field="4294967294" count="1" selected="0">
            <x v="1"/>
          </reference>
          <reference field="4" count="1" selected="0">
            <x v="1"/>
          </reference>
          <reference field="6" count="1" selected="0">
            <x v="3"/>
          </reference>
        </references>
      </pivotArea>
    </chartFormat>
    <chartFormat chart="2" format="21">
      <pivotArea type="data" outline="0" fieldPosition="0">
        <references count="3">
          <reference field="4294967294" count="1" selected="0">
            <x v="1"/>
          </reference>
          <reference field="4" count="1" selected="0">
            <x v="0"/>
          </reference>
          <reference field="6" count="1" selected="0">
            <x v="3"/>
          </reference>
        </references>
      </pivotArea>
    </chartFormat>
    <chartFormat chart="2" format="22">
      <pivotArea type="data" outline="0" fieldPosition="0">
        <references count="3">
          <reference field="4294967294" count="1" selected="0">
            <x v="1"/>
          </reference>
          <reference field="4" count="1" selected="0">
            <x v="3"/>
          </reference>
          <reference field="6" count="1" selected="0">
            <x v="2"/>
          </reference>
        </references>
      </pivotArea>
    </chartFormat>
    <chartFormat chart="2" format="23">
      <pivotArea type="data" outline="0" fieldPosition="0">
        <references count="3">
          <reference field="4294967294" count="1" selected="0">
            <x v="1"/>
          </reference>
          <reference field="4" count="1" selected="0">
            <x v="2"/>
          </reference>
          <reference field="6" count="1" selected="0">
            <x v="2"/>
          </reference>
        </references>
      </pivotArea>
    </chartFormat>
    <chartFormat chart="2" format="24">
      <pivotArea type="data" outline="0" fieldPosition="0">
        <references count="3">
          <reference field="4294967294" count="1" selected="0">
            <x v="1"/>
          </reference>
          <reference field="4" count="1" selected="0">
            <x v="1"/>
          </reference>
          <reference field="6" count="1" selected="0">
            <x v="2"/>
          </reference>
        </references>
      </pivotArea>
    </chartFormat>
    <chartFormat chart="2" format="25">
      <pivotArea type="data" outline="0" fieldPosition="0">
        <references count="3">
          <reference field="4294967294" count="1" selected="0">
            <x v="1"/>
          </reference>
          <reference field="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84662D-FEF6-4315-9EF2-873FCEFC6E05}" name="International Payme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22:B28" firstHeaderRow="1" firstDataRow="1" firstDataCol="1" rowPageCount="1" colPageCount="1"/>
  <pivotFields count="15">
    <pivotField showAll="0"/>
    <pivotField showAll="0"/>
    <pivotField numFmtId="4" showAll="0"/>
    <pivotField showAll="0"/>
    <pivotField showAll="0">
      <items count="5">
        <item x="2"/>
        <item x="3"/>
        <item x="0"/>
        <item x="1"/>
        <item t="default"/>
      </items>
    </pivotField>
    <pivotField showAll="0"/>
    <pivotField axis="axisRow" showAll="0">
      <items count="6">
        <item x="4"/>
        <item x="1"/>
        <item x="2"/>
        <item x="0"/>
        <item x="3"/>
        <item t="default"/>
      </items>
    </pivotField>
    <pivotField showAll="0"/>
    <pivotField showAll="0"/>
    <pivotField showAll="0"/>
    <pivotField numFmtId="4" showAll="0"/>
    <pivotField dataField="1" multipleItemSelectionAllowed="1" showAll="0"/>
    <pivotField showAll="0"/>
    <pivotField showAll="0"/>
    <pivotField axis="axisPage" multipleItemSelectionAllowed="1" showAll="0">
      <items count="5">
        <item m="1" x="2"/>
        <item m="1" x="3"/>
        <item h="1" x="0"/>
        <item x="1"/>
        <item t="default"/>
      </items>
    </pivotField>
  </pivotFields>
  <rowFields count="1">
    <field x="6"/>
  </rowFields>
  <rowItems count="6">
    <i>
      <x/>
    </i>
    <i>
      <x v="1"/>
    </i>
    <i>
      <x v="2"/>
    </i>
    <i>
      <x v="3"/>
    </i>
    <i>
      <x v="4"/>
    </i>
    <i t="grand">
      <x/>
    </i>
  </rowItems>
  <colItems count="1">
    <i/>
  </colItems>
  <pageFields count="1">
    <pageField fld="14" hier="-1"/>
  </pageFields>
  <dataFields count="1">
    <dataField name="Sum of is_international" fld="11" baseField="0" baseItem="0"/>
  </dataFields>
  <formats count="12">
    <format dxfId="2095">
      <pivotArea type="all" dataOnly="0" outline="0" fieldPosition="0"/>
    </format>
    <format dxfId="2094">
      <pivotArea outline="0" collapsedLevelsAreSubtotals="1" fieldPosition="0"/>
    </format>
    <format dxfId="2093">
      <pivotArea field="6" type="button" dataOnly="0" labelOnly="1" outline="0" axis="axisRow" fieldPosition="0"/>
    </format>
    <format dxfId="2092">
      <pivotArea dataOnly="0" labelOnly="1" fieldPosition="0">
        <references count="1">
          <reference field="6" count="0"/>
        </references>
      </pivotArea>
    </format>
    <format dxfId="2091">
      <pivotArea dataOnly="0" labelOnly="1" grandRow="1" outline="0" fieldPosition="0"/>
    </format>
    <format dxfId="2090">
      <pivotArea dataOnly="0" labelOnly="1" outline="0" axis="axisValues" fieldPosition="0"/>
    </format>
    <format dxfId="2089">
      <pivotArea type="all" dataOnly="0" outline="0" fieldPosition="0"/>
    </format>
    <format dxfId="2088">
      <pivotArea outline="0" collapsedLevelsAreSubtotals="1" fieldPosition="0"/>
    </format>
    <format dxfId="2087">
      <pivotArea field="6" type="button" dataOnly="0" labelOnly="1" outline="0" axis="axisRow" fieldPosition="0"/>
    </format>
    <format dxfId="2086">
      <pivotArea dataOnly="0" labelOnly="1" fieldPosition="0">
        <references count="1">
          <reference field="6" count="0"/>
        </references>
      </pivotArea>
    </format>
    <format dxfId="2085">
      <pivotArea dataOnly="0" labelOnly="1" grandRow="1" outline="0" fieldPosition="0"/>
    </format>
    <format dxfId="2084">
      <pivotArea dataOnly="0" labelOnly="1" outline="0" axis="axisValues" fieldPosition="0"/>
    </format>
  </formats>
  <chartFormats count="6">
    <chartFormat chart="11" format="5"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6" count="1" selected="0">
            <x v="3"/>
          </reference>
        </references>
      </pivotArea>
    </chartFormat>
    <chartFormat chart="13" format="6">
      <pivotArea type="data" outline="0" fieldPosition="0">
        <references count="2">
          <reference field="4294967294" count="1" selected="0">
            <x v="0"/>
          </reference>
          <reference field="6" count="1" selected="0">
            <x v="4"/>
          </reference>
        </references>
      </pivotArea>
    </chartFormat>
    <chartFormat chart="13" format="7">
      <pivotArea type="data" outline="0" fieldPosition="0">
        <references count="2">
          <reference field="4294967294" count="1" selected="0">
            <x v="0"/>
          </reference>
          <reference field="6" count="1" selected="0">
            <x v="2"/>
          </reference>
        </references>
      </pivotArea>
    </chartFormat>
    <chartFormat chart="13"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location" xr10:uid="{CF0C4A22-90D6-43AA-ABE4-3BD65C5261BE}" sourceName="device_location">
  <pivotTables>
    <pivotTable tabId="2" name="Frau by Payment Mode"/>
    <pivotTable tabId="2" name="Fraud by Device Type"/>
    <pivotTable tabId="2" name="International Payment"/>
    <pivotTable tabId="2" name="Transaction By City-Mode-Amt"/>
  </pivotTables>
  <data>
    <tabular pivotCacheId="1653935415">
      <items count="5">
        <i x="4" s="1"/>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C4AAE631-C039-47A4-8137-143F72DDC0FD}" sourceName="payment_mode">
  <pivotTables>
    <pivotTable tabId="2" name="Frau by Payment Mode"/>
    <pivotTable tabId="2" name="Fraud by Device Type"/>
    <pivotTable tabId="2" name="International Payment"/>
    <pivotTable tabId="2" name="Transaction By City-Mode-Amt"/>
  </pivotTables>
  <data>
    <tabular pivotCacheId="165393541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_location" xr10:uid="{DF34BE24-5078-4B0A-AB21-A0CF1B7109DB}" cache="Slicer_device_location" caption="device_location" columnCount="2" rowHeight="247650"/>
  <slicer name="payment_mode" xr10:uid="{14F3F631-8F8C-4F99-AA4C-F678965D025A}" cache="Slicer_payment_mode" caption="payment_mode" columnCoun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F463A-8F6E-4F32-90D3-A88AAFDC67CF}">
  <dimension ref="A1:O971"/>
  <sheetViews>
    <sheetView workbookViewId="0"/>
  </sheetViews>
  <sheetFormatPr defaultRowHeight="14.4" x14ac:dyDescent="0.3"/>
  <cols>
    <col min="1" max="1" width="14.5546875" style="5" bestFit="1" customWidth="1"/>
    <col min="2" max="2" width="7.88671875" style="5" bestFit="1" customWidth="1"/>
    <col min="3" max="3" width="20.21875" style="5" bestFit="1" customWidth="1"/>
    <col min="4" max="4" width="16.88671875" style="5" bestFit="1" customWidth="1"/>
    <col min="5" max="5" width="15.77734375" style="5" bestFit="1" customWidth="1"/>
    <col min="6" max="6" width="12.109375" style="5" bestFit="1" customWidth="1"/>
    <col min="7" max="7" width="15.6640625" style="5" bestFit="1" customWidth="1"/>
    <col min="8" max="8" width="18.21875" style="5" bestFit="1" customWidth="1"/>
    <col min="9" max="9" width="17.33203125" style="5" bestFit="1" customWidth="1"/>
    <col min="10" max="10" width="25.21875" style="5" bestFit="1" customWidth="1"/>
    <col min="11" max="11" width="24.5546875" style="5" bestFit="1" customWidth="1"/>
    <col min="12" max="12" width="15.88671875" style="5" bestFit="1" customWidth="1"/>
    <col min="13" max="13" width="13.33203125" style="5" bestFit="1" customWidth="1"/>
    <col min="14" max="14" width="24.44140625" style="5" bestFit="1" customWidth="1"/>
    <col min="15" max="15" width="11.6640625" style="5" bestFit="1" customWidth="1"/>
  </cols>
  <sheetData>
    <row r="1" spans="1:15" ht="30.6" customHeight="1" x14ac:dyDescent="0.3">
      <c r="A1" s="29" t="s">
        <v>0</v>
      </c>
      <c r="B1" s="29" t="s">
        <v>1</v>
      </c>
      <c r="C1" s="29" t="s">
        <v>2</v>
      </c>
      <c r="D1" s="29" t="s">
        <v>3</v>
      </c>
      <c r="E1" s="29" t="s">
        <v>4</v>
      </c>
      <c r="F1" s="29" t="s">
        <v>5</v>
      </c>
      <c r="G1" s="29" t="s">
        <v>6</v>
      </c>
      <c r="H1" s="29" t="s">
        <v>7</v>
      </c>
      <c r="I1" s="29" t="s">
        <v>8</v>
      </c>
      <c r="J1" s="29" t="s">
        <v>9</v>
      </c>
      <c r="K1" s="29" t="s">
        <v>10</v>
      </c>
      <c r="L1" s="29" t="s">
        <v>11</v>
      </c>
      <c r="M1" s="29" t="s">
        <v>12</v>
      </c>
      <c r="N1" s="29" t="s">
        <v>13</v>
      </c>
      <c r="O1" s="30" t="s">
        <v>14</v>
      </c>
    </row>
    <row r="2" spans="1:15" x14ac:dyDescent="0.3">
      <c r="A2" s="1" t="s">
        <v>15</v>
      </c>
      <c r="B2" s="1" t="s">
        <v>16</v>
      </c>
      <c r="C2" s="2">
        <v>18758.28</v>
      </c>
      <c r="D2" s="1" t="s">
        <v>17</v>
      </c>
      <c r="E2" s="1" t="s">
        <v>18</v>
      </c>
      <c r="F2" s="1" t="s">
        <v>19</v>
      </c>
      <c r="G2" s="1" t="s">
        <v>20</v>
      </c>
      <c r="H2" s="1">
        <v>895</v>
      </c>
      <c r="I2" s="1">
        <v>14</v>
      </c>
      <c r="J2" s="1">
        <v>1</v>
      </c>
      <c r="K2" s="2">
        <v>25535.84</v>
      </c>
      <c r="L2" s="1">
        <v>0</v>
      </c>
      <c r="M2" s="1">
        <v>0.71799999999999997</v>
      </c>
      <c r="N2" s="1">
        <v>4</v>
      </c>
      <c r="O2" s="3" t="s">
        <v>21</v>
      </c>
    </row>
    <row r="3" spans="1:15" x14ac:dyDescent="0.3">
      <c r="A3" s="1" t="s">
        <v>22</v>
      </c>
      <c r="B3" s="1" t="s">
        <v>23</v>
      </c>
      <c r="C3" s="2">
        <v>47538.18</v>
      </c>
      <c r="D3" s="1" t="s">
        <v>24</v>
      </c>
      <c r="E3" s="1" t="s">
        <v>25</v>
      </c>
      <c r="F3" s="1" t="s">
        <v>26</v>
      </c>
      <c r="G3" s="1" t="s">
        <v>20</v>
      </c>
      <c r="H3" s="1">
        <v>918</v>
      </c>
      <c r="I3" s="1">
        <v>21</v>
      </c>
      <c r="J3" s="1">
        <v>0</v>
      </c>
      <c r="K3" s="2">
        <v>3955.85</v>
      </c>
      <c r="L3" s="1">
        <v>0</v>
      </c>
      <c r="M3" s="1">
        <v>0.52500000000000002</v>
      </c>
      <c r="N3" s="1">
        <v>9</v>
      </c>
      <c r="O3" s="3" t="s">
        <v>21</v>
      </c>
    </row>
    <row r="4" spans="1:15" x14ac:dyDescent="0.3">
      <c r="A4" s="1" t="s">
        <v>27</v>
      </c>
      <c r="B4" s="1" t="s">
        <v>28</v>
      </c>
      <c r="C4" s="2">
        <v>36613.1</v>
      </c>
      <c r="D4" s="1" t="s">
        <v>24</v>
      </c>
      <c r="E4" s="1" t="s">
        <v>29</v>
      </c>
      <c r="F4" s="1" t="s">
        <v>30</v>
      </c>
      <c r="G4" s="1" t="s">
        <v>31</v>
      </c>
      <c r="H4" s="1">
        <v>1506</v>
      </c>
      <c r="I4" s="1">
        <v>8</v>
      </c>
      <c r="J4" s="1">
        <v>4</v>
      </c>
      <c r="K4" s="2">
        <v>22727.71</v>
      </c>
      <c r="L4" s="1">
        <v>0</v>
      </c>
      <c r="M4" s="1">
        <v>0.98499999999999999</v>
      </c>
      <c r="N4" s="1">
        <v>9</v>
      </c>
      <c r="O4" s="3" t="s">
        <v>21</v>
      </c>
    </row>
    <row r="5" spans="1:15" x14ac:dyDescent="0.3">
      <c r="A5" s="1" t="s">
        <v>32</v>
      </c>
      <c r="B5" s="1" t="s">
        <v>33</v>
      </c>
      <c r="C5" s="2">
        <v>29952.99</v>
      </c>
      <c r="D5" s="1" t="s">
        <v>24</v>
      </c>
      <c r="E5" s="1" t="s">
        <v>25</v>
      </c>
      <c r="F5" s="1" t="s">
        <v>26</v>
      </c>
      <c r="G5" s="1" t="s">
        <v>31</v>
      </c>
      <c r="H5" s="1">
        <v>800</v>
      </c>
      <c r="I5" s="1">
        <v>1</v>
      </c>
      <c r="J5" s="1">
        <v>3</v>
      </c>
      <c r="K5" s="2">
        <v>18095.89</v>
      </c>
      <c r="L5" s="1">
        <v>0</v>
      </c>
      <c r="M5" s="1">
        <v>0.79700000000000004</v>
      </c>
      <c r="N5" s="1">
        <v>2</v>
      </c>
      <c r="O5" s="3" t="s">
        <v>21</v>
      </c>
    </row>
    <row r="6" spans="1:15" x14ac:dyDescent="0.3">
      <c r="A6" s="1" t="s">
        <v>34</v>
      </c>
      <c r="B6" s="1" t="s">
        <v>35</v>
      </c>
      <c r="C6" s="2">
        <v>7843.13</v>
      </c>
      <c r="D6" s="1" t="s">
        <v>24</v>
      </c>
      <c r="E6" s="1" t="s">
        <v>18</v>
      </c>
      <c r="F6" s="1" t="s">
        <v>19</v>
      </c>
      <c r="G6" s="1" t="s">
        <v>36</v>
      </c>
      <c r="H6" s="1">
        <v>301</v>
      </c>
      <c r="I6" s="1">
        <v>4</v>
      </c>
      <c r="J6" s="1">
        <v>1</v>
      </c>
      <c r="K6" s="2">
        <v>9317.49</v>
      </c>
      <c r="L6" s="1">
        <v>1</v>
      </c>
      <c r="M6" s="1">
        <v>0.46800000000000003</v>
      </c>
      <c r="N6" s="1">
        <v>1</v>
      </c>
      <c r="O6" s="3" t="s">
        <v>21</v>
      </c>
    </row>
    <row r="7" spans="1:15" x14ac:dyDescent="0.3">
      <c r="A7" s="1" t="s">
        <v>37</v>
      </c>
      <c r="B7" s="1" t="s">
        <v>38</v>
      </c>
      <c r="C7" s="2">
        <v>7841.93</v>
      </c>
      <c r="D7" s="1" t="s">
        <v>17</v>
      </c>
      <c r="E7" s="1" t="s">
        <v>39</v>
      </c>
      <c r="F7" s="1" t="s">
        <v>19</v>
      </c>
      <c r="G7" s="1" t="s">
        <v>20</v>
      </c>
      <c r="H7" s="1">
        <v>1992</v>
      </c>
      <c r="I7" s="1">
        <v>20</v>
      </c>
      <c r="J7" s="1">
        <v>3</v>
      </c>
      <c r="K7" s="2">
        <v>4177.2299999999996</v>
      </c>
      <c r="L7" s="1">
        <v>0</v>
      </c>
      <c r="M7" s="1">
        <v>0.58299999999999996</v>
      </c>
      <c r="N7" s="1">
        <v>3</v>
      </c>
      <c r="O7" s="3" t="s">
        <v>21</v>
      </c>
    </row>
    <row r="8" spans="1:15" x14ac:dyDescent="0.3">
      <c r="A8" s="1" t="s">
        <v>40</v>
      </c>
      <c r="B8" s="1" t="s">
        <v>41</v>
      </c>
      <c r="C8" s="2">
        <v>2951.28</v>
      </c>
      <c r="D8" s="1" t="s">
        <v>17</v>
      </c>
      <c r="E8" s="1" t="s">
        <v>18</v>
      </c>
      <c r="F8" s="1" t="s">
        <v>30</v>
      </c>
      <c r="G8" s="1" t="s">
        <v>20</v>
      </c>
      <c r="H8" s="1">
        <v>1285</v>
      </c>
      <c r="I8" s="1">
        <v>22</v>
      </c>
      <c r="J8" s="1">
        <v>4</v>
      </c>
      <c r="K8" s="2">
        <v>11451.45</v>
      </c>
      <c r="L8" s="1">
        <v>0</v>
      </c>
      <c r="M8" s="1">
        <v>4.4999999999999998E-2</v>
      </c>
      <c r="N8" s="1">
        <v>8</v>
      </c>
      <c r="O8" s="4" t="s">
        <v>1936</v>
      </c>
    </row>
    <row r="9" spans="1:15" x14ac:dyDescent="0.3">
      <c r="A9" s="1" t="s">
        <v>42</v>
      </c>
      <c r="B9" s="1" t="s">
        <v>43</v>
      </c>
      <c r="C9" s="2">
        <v>43315.5</v>
      </c>
      <c r="D9" s="1" t="s">
        <v>17</v>
      </c>
      <c r="E9" s="1" t="s">
        <v>18</v>
      </c>
      <c r="F9" s="1" t="s">
        <v>19</v>
      </c>
      <c r="G9" s="1" t="s">
        <v>20</v>
      </c>
      <c r="H9" s="1">
        <v>1621</v>
      </c>
      <c r="I9" s="1">
        <v>4</v>
      </c>
      <c r="J9" s="1">
        <v>4</v>
      </c>
      <c r="K9" s="2">
        <v>13297.18</v>
      </c>
      <c r="L9" s="1">
        <v>0</v>
      </c>
      <c r="M9" s="1">
        <v>0.96499999999999997</v>
      </c>
      <c r="N9" s="1">
        <v>4</v>
      </c>
      <c r="O9" s="3" t="s">
        <v>21</v>
      </c>
    </row>
    <row r="10" spans="1:15" x14ac:dyDescent="0.3">
      <c r="A10" s="1" t="s">
        <v>44</v>
      </c>
      <c r="B10" s="1" t="s">
        <v>45</v>
      </c>
      <c r="C10" s="2">
        <v>30075.69</v>
      </c>
      <c r="D10" s="1" t="s">
        <v>17</v>
      </c>
      <c r="E10" s="1" t="s">
        <v>18</v>
      </c>
      <c r="F10" s="1" t="s">
        <v>30</v>
      </c>
      <c r="G10" s="1" t="s">
        <v>46</v>
      </c>
      <c r="H10" s="1">
        <v>184</v>
      </c>
      <c r="I10" s="1">
        <v>11</v>
      </c>
      <c r="J10" s="1">
        <v>0</v>
      </c>
      <c r="K10" s="2">
        <v>4308.8</v>
      </c>
      <c r="L10" s="1">
        <v>0</v>
      </c>
      <c r="M10" s="1">
        <v>0.36299999999999999</v>
      </c>
      <c r="N10" s="1">
        <v>5</v>
      </c>
      <c r="O10" s="3" t="s">
        <v>21</v>
      </c>
    </row>
    <row r="11" spans="1:15" x14ac:dyDescent="0.3">
      <c r="A11" s="1" t="s">
        <v>47</v>
      </c>
      <c r="B11" s="1" t="s">
        <v>48</v>
      </c>
      <c r="C11" s="2">
        <v>35418.230000000003</v>
      </c>
      <c r="D11" s="1" t="s">
        <v>24</v>
      </c>
      <c r="E11" s="1" t="s">
        <v>29</v>
      </c>
      <c r="F11" s="1" t="s">
        <v>26</v>
      </c>
      <c r="G11" s="1" t="s">
        <v>20</v>
      </c>
      <c r="H11" s="1">
        <v>118</v>
      </c>
      <c r="I11" s="1">
        <v>9</v>
      </c>
      <c r="J11" s="1">
        <v>3</v>
      </c>
      <c r="K11" s="2">
        <v>20136.79</v>
      </c>
      <c r="L11" s="1">
        <v>0</v>
      </c>
      <c r="M11" s="1">
        <v>0.66200000000000003</v>
      </c>
      <c r="N11" s="1">
        <v>5</v>
      </c>
      <c r="O11" s="3" t="s">
        <v>21</v>
      </c>
    </row>
    <row r="12" spans="1:15" x14ac:dyDescent="0.3">
      <c r="A12" s="1" t="s">
        <v>49</v>
      </c>
      <c r="B12" s="1" t="s">
        <v>50</v>
      </c>
      <c r="C12" s="2">
        <v>1078.2</v>
      </c>
      <c r="D12" s="1" t="s">
        <v>51</v>
      </c>
      <c r="E12" s="1" t="s">
        <v>25</v>
      </c>
      <c r="F12" s="1" t="s">
        <v>26</v>
      </c>
      <c r="G12" s="1" t="s">
        <v>46</v>
      </c>
      <c r="H12" s="1">
        <v>971</v>
      </c>
      <c r="I12" s="1">
        <v>3</v>
      </c>
      <c r="J12" s="1">
        <v>4</v>
      </c>
      <c r="K12" s="2">
        <v>9282.58</v>
      </c>
      <c r="L12" s="1">
        <v>0</v>
      </c>
      <c r="M12" s="1">
        <v>0.66700000000000004</v>
      </c>
      <c r="N12" s="1">
        <v>2</v>
      </c>
      <c r="O12" s="3" t="s">
        <v>21</v>
      </c>
    </row>
    <row r="13" spans="1:15" x14ac:dyDescent="0.3">
      <c r="A13" s="1" t="s">
        <v>52</v>
      </c>
      <c r="B13" s="1" t="s">
        <v>53</v>
      </c>
      <c r="C13" s="2">
        <v>48497</v>
      </c>
      <c r="D13" s="1" t="s">
        <v>17</v>
      </c>
      <c r="E13" s="1" t="s">
        <v>39</v>
      </c>
      <c r="F13" s="1" t="s">
        <v>30</v>
      </c>
      <c r="G13" s="1" t="s">
        <v>36</v>
      </c>
      <c r="H13" s="1">
        <v>1373</v>
      </c>
      <c r="I13" s="1">
        <v>11</v>
      </c>
      <c r="J13" s="1">
        <v>2</v>
      </c>
      <c r="K13" s="2">
        <v>24200.58</v>
      </c>
      <c r="L13" s="1">
        <v>0</v>
      </c>
      <c r="M13" s="1">
        <v>5.7000000000000002E-2</v>
      </c>
      <c r="N13" s="1">
        <v>1</v>
      </c>
      <c r="O13" s="3" t="s">
        <v>21</v>
      </c>
    </row>
    <row r="14" spans="1:15" x14ac:dyDescent="0.3">
      <c r="A14" s="1" t="s">
        <v>54</v>
      </c>
      <c r="B14" s="1" t="s">
        <v>55</v>
      </c>
      <c r="C14" s="2">
        <v>41630.51</v>
      </c>
      <c r="D14" s="1" t="s">
        <v>17</v>
      </c>
      <c r="E14" s="1" t="s">
        <v>29</v>
      </c>
      <c r="F14" s="1" t="s">
        <v>26</v>
      </c>
      <c r="G14" s="1" t="s">
        <v>56</v>
      </c>
      <c r="H14" s="1">
        <v>857</v>
      </c>
      <c r="I14" s="1">
        <v>14</v>
      </c>
      <c r="J14" s="1">
        <v>4</v>
      </c>
      <c r="K14" s="2">
        <v>19485.63</v>
      </c>
      <c r="L14" s="1">
        <v>0</v>
      </c>
      <c r="M14" s="1">
        <v>0.26600000000000001</v>
      </c>
      <c r="N14" s="1">
        <v>8</v>
      </c>
      <c r="O14" s="3" t="s">
        <v>21</v>
      </c>
    </row>
    <row r="15" spans="1:15" x14ac:dyDescent="0.3">
      <c r="A15" s="1" t="s">
        <v>57</v>
      </c>
      <c r="B15" s="1" t="s">
        <v>58</v>
      </c>
      <c r="C15" s="2">
        <v>10656.34</v>
      </c>
      <c r="D15" s="1" t="s">
        <v>24</v>
      </c>
      <c r="E15" s="1" t="s">
        <v>18</v>
      </c>
      <c r="F15" s="1" t="s">
        <v>30</v>
      </c>
      <c r="G15" s="1" t="s">
        <v>20</v>
      </c>
      <c r="H15" s="1">
        <v>1047</v>
      </c>
      <c r="I15" s="1">
        <v>9</v>
      </c>
      <c r="J15" s="1">
        <v>4</v>
      </c>
      <c r="K15" s="2">
        <v>9384.02</v>
      </c>
      <c r="L15" s="1">
        <v>0</v>
      </c>
      <c r="M15" s="1">
        <v>0.65600000000000003</v>
      </c>
      <c r="N15" s="1">
        <v>5</v>
      </c>
      <c r="O15" s="3" t="s">
        <v>21</v>
      </c>
    </row>
    <row r="16" spans="1:15" x14ac:dyDescent="0.3">
      <c r="A16" s="1" t="s">
        <v>59</v>
      </c>
      <c r="B16" s="1" t="s">
        <v>60</v>
      </c>
      <c r="C16" s="2">
        <v>9132.16</v>
      </c>
      <c r="D16" s="1" t="s">
        <v>24</v>
      </c>
      <c r="E16" s="1" t="s">
        <v>39</v>
      </c>
      <c r="F16" s="1" t="s">
        <v>26</v>
      </c>
      <c r="G16" s="1" t="s">
        <v>31</v>
      </c>
      <c r="H16" s="1">
        <v>702</v>
      </c>
      <c r="I16" s="1">
        <v>17</v>
      </c>
      <c r="J16" s="1">
        <v>3</v>
      </c>
      <c r="K16" s="2">
        <v>10864.59</v>
      </c>
      <c r="L16" s="1">
        <v>0</v>
      </c>
      <c r="M16" s="1">
        <v>0.91200000000000003</v>
      </c>
      <c r="N16" s="1">
        <v>2</v>
      </c>
      <c r="O16" s="3" t="s">
        <v>21</v>
      </c>
    </row>
    <row r="17" spans="1:15" x14ac:dyDescent="0.3">
      <c r="A17" s="1" t="s">
        <v>61</v>
      </c>
      <c r="B17" s="1" t="s">
        <v>62</v>
      </c>
      <c r="C17" s="2">
        <v>9211.06</v>
      </c>
      <c r="D17" s="1" t="s">
        <v>24</v>
      </c>
      <c r="E17" s="1" t="s">
        <v>18</v>
      </c>
      <c r="F17" s="1" t="s">
        <v>26</v>
      </c>
      <c r="G17" s="1" t="s">
        <v>31</v>
      </c>
      <c r="H17" s="1">
        <v>1355</v>
      </c>
      <c r="I17" s="1">
        <v>23</v>
      </c>
      <c r="J17" s="1">
        <v>4</v>
      </c>
      <c r="K17" s="2">
        <v>28270.21</v>
      </c>
      <c r="L17" s="1">
        <v>0</v>
      </c>
      <c r="M17" s="1">
        <v>0.77900000000000003</v>
      </c>
      <c r="N17" s="1">
        <v>7</v>
      </c>
      <c r="O17" s="3" t="s">
        <v>21</v>
      </c>
    </row>
    <row r="18" spans="1:15" x14ac:dyDescent="0.3">
      <c r="A18" s="1" t="s">
        <v>63</v>
      </c>
      <c r="B18" s="1" t="s">
        <v>64</v>
      </c>
      <c r="C18" s="2">
        <v>15246.9</v>
      </c>
      <c r="D18" s="1" t="s">
        <v>24</v>
      </c>
      <c r="E18" s="1" t="s">
        <v>18</v>
      </c>
      <c r="F18" s="1" t="s">
        <v>19</v>
      </c>
      <c r="G18" s="1" t="s">
        <v>20</v>
      </c>
      <c r="H18" s="1">
        <v>1978</v>
      </c>
      <c r="I18" s="1">
        <v>4</v>
      </c>
      <c r="J18" s="1">
        <v>1</v>
      </c>
      <c r="K18" s="2">
        <v>28448.77</v>
      </c>
      <c r="L18" s="1">
        <v>0</v>
      </c>
      <c r="M18" s="1">
        <v>0.57999999999999996</v>
      </c>
      <c r="N18" s="1">
        <v>2</v>
      </c>
      <c r="O18" s="3" t="s">
        <v>21</v>
      </c>
    </row>
    <row r="19" spans="1:15" x14ac:dyDescent="0.3">
      <c r="A19" s="1" t="s">
        <v>65</v>
      </c>
      <c r="B19" s="1" t="s">
        <v>66</v>
      </c>
      <c r="C19" s="2">
        <v>26261.58</v>
      </c>
      <c r="D19" s="1" t="s">
        <v>51</v>
      </c>
      <c r="E19" s="1" t="s">
        <v>18</v>
      </c>
      <c r="F19" s="1" t="s">
        <v>19</v>
      </c>
      <c r="G19" s="1" t="s">
        <v>46</v>
      </c>
      <c r="H19" s="1">
        <v>1817</v>
      </c>
      <c r="I19" s="1">
        <v>12</v>
      </c>
      <c r="J19" s="1">
        <v>4</v>
      </c>
      <c r="K19" s="2">
        <v>12609.29</v>
      </c>
      <c r="L19" s="1">
        <v>0</v>
      </c>
      <c r="M19" s="1">
        <v>0.23200000000000001</v>
      </c>
      <c r="N19" s="1">
        <v>6</v>
      </c>
      <c r="O19" s="3" t="s">
        <v>21</v>
      </c>
    </row>
    <row r="20" spans="1:15" x14ac:dyDescent="0.3">
      <c r="A20" s="1" t="s">
        <v>67</v>
      </c>
      <c r="B20" s="1" t="s">
        <v>68</v>
      </c>
      <c r="C20" s="2">
        <v>21625.65</v>
      </c>
      <c r="D20" s="1" t="s">
        <v>51</v>
      </c>
      <c r="E20" s="1" t="s">
        <v>39</v>
      </c>
      <c r="F20" s="1" t="s">
        <v>30</v>
      </c>
      <c r="G20" s="1" t="s">
        <v>31</v>
      </c>
      <c r="H20" s="1">
        <v>973</v>
      </c>
      <c r="I20" s="1">
        <v>3</v>
      </c>
      <c r="J20" s="1">
        <v>2</v>
      </c>
      <c r="K20" s="2">
        <v>20407.189999999999</v>
      </c>
      <c r="L20" s="1">
        <v>0</v>
      </c>
      <c r="M20" s="1">
        <v>0.94899999999999995</v>
      </c>
      <c r="N20" s="1">
        <v>9</v>
      </c>
      <c r="O20" s="3" t="s">
        <v>21</v>
      </c>
    </row>
    <row r="21" spans="1:15" x14ac:dyDescent="0.3">
      <c r="A21" s="1" t="s">
        <v>69</v>
      </c>
      <c r="B21" s="1" t="s">
        <v>70</v>
      </c>
      <c r="C21" s="2">
        <v>14596.9</v>
      </c>
      <c r="D21" s="1" t="s">
        <v>17</v>
      </c>
      <c r="E21" s="1" t="s">
        <v>25</v>
      </c>
      <c r="F21" s="1" t="s">
        <v>26</v>
      </c>
      <c r="G21" s="1" t="s">
        <v>31</v>
      </c>
      <c r="H21" s="1">
        <v>52</v>
      </c>
      <c r="I21" s="1">
        <v>8</v>
      </c>
      <c r="J21" s="1">
        <v>4</v>
      </c>
      <c r="K21" s="2">
        <v>29401.17</v>
      </c>
      <c r="L21" s="1">
        <v>0</v>
      </c>
      <c r="M21" s="1">
        <v>0.40400000000000003</v>
      </c>
      <c r="N21" s="1">
        <v>4</v>
      </c>
      <c r="O21" s="3" t="s">
        <v>21</v>
      </c>
    </row>
    <row r="22" spans="1:15" x14ac:dyDescent="0.3">
      <c r="A22" s="1" t="s">
        <v>71</v>
      </c>
      <c r="B22" s="1" t="s">
        <v>72</v>
      </c>
      <c r="C22" s="2">
        <v>30612.05</v>
      </c>
      <c r="D22" s="1" t="s">
        <v>51</v>
      </c>
      <c r="E22" s="1" t="s">
        <v>18</v>
      </c>
      <c r="F22" s="1" t="s">
        <v>26</v>
      </c>
      <c r="G22" s="1" t="s">
        <v>36</v>
      </c>
      <c r="H22" s="1">
        <v>470</v>
      </c>
      <c r="I22" s="1">
        <v>17</v>
      </c>
      <c r="J22" s="1">
        <v>0</v>
      </c>
      <c r="K22" s="2">
        <v>29822.13</v>
      </c>
      <c r="L22" s="1">
        <v>0</v>
      </c>
      <c r="M22" s="1">
        <v>0.15</v>
      </c>
      <c r="N22" s="1">
        <v>5</v>
      </c>
      <c r="O22" s="3" t="s">
        <v>21</v>
      </c>
    </row>
    <row r="23" spans="1:15" x14ac:dyDescent="0.3">
      <c r="A23" s="1" t="s">
        <v>73</v>
      </c>
      <c r="B23" s="1" t="s">
        <v>74</v>
      </c>
      <c r="C23" s="2">
        <v>7017.72</v>
      </c>
      <c r="D23" s="1" t="s">
        <v>17</v>
      </c>
      <c r="E23" s="1" t="s">
        <v>25</v>
      </c>
      <c r="F23" s="1" t="s">
        <v>26</v>
      </c>
      <c r="G23" s="1" t="s">
        <v>36</v>
      </c>
      <c r="H23" s="1">
        <v>1135</v>
      </c>
      <c r="I23" s="1">
        <v>2</v>
      </c>
      <c r="J23" s="1">
        <v>3</v>
      </c>
      <c r="K23" s="2">
        <v>2256.81</v>
      </c>
      <c r="L23" s="1">
        <v>0</v>
      </c>
      <c r="M23" s="1">
        <v>2.1999999999999999E-2</v>
      </c>
      <c r="N23" s="1">
        <v>1</v>
      </c>
      <c r="O23" s="3" t="s">
        <v>21</v>
      </c>
    </row>
    <row r="24" spans="1:15" x14ac:dyDescent="0.3">
      <c r="A24" s="1" t="s">
        <v>75</v>
      </c>
      <c r="B24" s="1" t="s">
        <v>76</v>
      </c>
      <c r="C24" s="2">
        <v>14642.63</v>
      </c>
      <c r="D24" s="1" t="s">
        <v>17</v>
      </c>
      <c r="E24" s="1" t="s">
        <v>39</v>
      </c>
      <c r="F24" s="1" t="s">
        <v>19</v>
      </c>
      <c r="G24" s="1" t="s">
        <v>36</v>
      </c>
      <c r="H24" s="1">
        <v>1658</v>
      </c>
      <c r="I24" s="1">
        <v>23</v>
      </c>
      <c r="J24" s="1">
        <v>2</v>
      </c>
      <c r="K24" s="2">
        <v>16649.62</v>
      </c>
      <c r="L24" s="1">
        <v>1</v>
      </c>
      <c r="M24" s="1">
        <v>0.95</v>
      </c>
      <c r="N24" s="1">
        <v>1</v>
      </c>
      <c r="O24" s="3" t="s">
        <v>21</v>
      </c>
    </row>
    <row r="25" spans="1:15" x14ac:dyDescent="0.3">
      <c r="A25" s="1" t="s">
        <v>77</v>
      </c>
      <c r="B25" s="1" t="s">
        <v>78</v>
      </c>
      <c r="C25" s="2">
        <v>18349.77</v>
      </c>
      <c r="D25" s="1" t="s">
        <v>51</v>
      </c>
      <c r="E25" s="1" t="s">
        <v>39</v>
      </c>
      <c r="F25" s="1" t="s">
        <v>30</v>
      </c>
      <c r="G25" s="1" t="s">
        <v>31</v>
      </c>
      <c r="H25" s="1">
        <v>714</v>
      </c>
      <c r="I25" s="1">
        <v>10</v>
      </c>
      <c r="J25" s="1">
        <v>1</v>
      </c>
      <c r="K25" s="2">
        <v>21825.86</v>
      </c>
      <c r="L25" s="1">
        <v>0</v>
      </c>
      <c r="M25" s="1">
        <v>0.77800000000000002</v>
      </c>
      <c r="N25" s="1">
        <v>9</v>
      </c>
      <c r="O25" s="3" t="s">
        <v>21</v>
      </c>
    </row>
    <row r="26" spans="1:15" x14ac:dyDescent="0.3">
      <c r="A26" s="1" t="s">
        <v>79</v>
      </c>
      <c r="B26" s="1" t="s">
        <v>80</v>
      </c>
      <c r="C26" s="2">
        <v>22830.7</v>
      </c>
      <c r="D26" s="1" t="s">
        <v>17</v>
      </c>
      <c r="E26" s="1" t="s">
        <v>18</v>
      </c>
      <c r="F26" s="1" t="s">
        <v>30</v>
      </c>
      <c r="G26" s="1" t="s">
        <v>31</v>
      </c>
      <c r="H26" s="1">
        <v>1042</v>
      </c>
      <c r="I26" s="1">
        <v>3</v>
      </c>
      <c r="J26" s="1">
        <v>4</v>
      </c>
      <c r="K26" s="2">
        <v>5687.3</v>
      </c>
      <c r="L26" s="1">
        <v>0</v>
      </c>
      <c r="M26" s="1">
        <v>0.216</v>
      </c>
      <c r="N26" s="1">
        <v>5</v>
      </c>
      <c r="O26" s="3" t="s">
        <v>21</v>
      </c>
    </row>
    <row r="27" spans="1:15" x14ac:dyDescent="0.3">
      <c r="A27" s="1" t="s">
        <v>81</v>
      </c>
      <c r="B27" s="1" t="s">
        <v>82</v>
      </c>
      <c r="C27" s="2">
        <v>39269.54</v>
      </c>
      <c r="D27" s="1" t="s">
        <v>24</v>
      </c>
      <c r="E27" s="1" t="s">
        <v>25</v>
      </c>
      <c r="F27" s="1" t="s">
        <v>30</v>
      </c>
      <c r="G27" s="1" t="s">
        <v>20</v>
      </c>
      <c r="H27" s="1">
        <v>158</v>
      </c>
      <c r="I27" s="1">
        <v>8</v>
      </c>
      <c r="J27" s="1">
        <v>4</v>
      </c>
      <c r="K27" s="2">
        <v>24674.959999999999</v>
      </c>
      <c r="L27" s="1">
        <v>0</v>
      </c>
      <c r="M27" s="1">
        <v>0.14199999999999999</v>
      </c>
      <c r="N27" s="1">
        <v>3</v>
      </c>
      <c r="O27" s="3" t="s">
        <v>21</v>
      </c>
    </row>
    <row r="28" spans="1:15" x14ac:dyDescent="0.3">
      <c r="A28" s="1" t="s">
        <v>83</v>
      </c>
      <c r="B28" s="1" t="s">
        <v>84</v>
      </c>
      <c r="C28" s="2">
        <v>10023.709999999999</v>
      </c>
      <c r="D28" s="1" t="s">
        <v>17</v>
      </c>
      <c r="E28" s="1" t="s">
        <v>25</v>
      </c>
      <c r="F28" s="1" t="s">
        <v>26</v>
      </c>
      <c r="G28" s="1" t="s">
        <v>20</v>
      </c>
      <c r="H28" s="1">
        <v>347</v>
      </c>
      <c r="I28" s="1">
        <v>11</v>
      </c>
      <c r="J28" s="1">
        <v>1</v>
      </c>
      <c r="K28" s="2">
        <v>14106.78</v>
      </c>
      <c r="L28" s="1">
        <v>0</v>
      </c>
      <c r="M28" s="1">
        <v>0.95899999999999996</v>
      </c>
      <c r="N28" s="1">
        <v>2</v>
      </c>
      <c r="O28" s="3" t="s">
        <v>21</v>
      </c>
    </row>
    <row r="29" spans="1:15" x14ac:dyDescent="0.3">
      <c r="A29" s="1" t="s">
        <v>85</v>
      </c>
      <c r="B29" s="1" t="s">
        <v>86</v>
      </c>
      <c r="C29" s="2">
        <v>25736.01</v>
      </c>
      <c r="D29" s="1" t="s">
        <v>24</v>
      </c>
      <c r="E29" s="1" t="s">
        <v>18</v>
      </c>
      <c r="F29" s="1" t="s">
        <v>30</v>
      </c>
      <c r="G29" s="1" t="s">
        <v>46</v>
      </c>
      <c r="H29" s="1">
        <v>1012</v>
      </c>
      <c r="I29" s="1">
        <v>9</v>
      </c>
      <c r="J29" s="1">
        <v>4</v>
      </c>
      <c r="K29" s="2">
        <v>14982.77</v>
      </c>
      <c r="L29" s="1">
        <v>0</v>
      </c>
      <c r="M29" s="1">
        <v>0.24099999999999999</v>
      </c>
      <c r="N29" s="1">
        <v>7</v>
      </c>
      <c r="O29" s="3" t="s">
        <v>21</v>
      </c>
    </row>
    <row r="30" spans="1:15" x14ac:dyDescent="0.3">
      <c r="A30" s="1" t="s">
        <v>87</v>
      </c>
      <c r="B30" s="1" t="s">
        <v>88</v>
      </c>
      <c r="C30" s="2">
        <v>29641.11</v>
      </c>
      <c r="D30" s="1" t="s">
        <v>51</v>
      </c>
      <c r="E30" s="1" t="s">
        <v>29</v>
      </c>
      <c r="F30" s="1" t="s">
        <v>19</v>
      </c>
      <c r="G30" s="1" t="s">
        <v>31</v>
      </c>
      <c r="H30" s="1">
        <v>233</v>
      </c>
      <c r="I30" s="1">
        <v>9</v>
      </c>
      <c r="J30" s="1">
        <v>0</v>
      </c>
      <c r="K30" s="2">
        <v>8302.26</v>
      </c>
      <c r="L30" s="1">
        <v>0</v>
      </c>
      <c r="M30" s="1">
        <v>0.46200000000000002</v>
      </c>
      <c r="N30" s="1">
        <v>4</v>
      </c>
      <c r="O30" s="3" t="s">
        <v>21</v>
      </c>
    </row>
    <row r="31" spans="1:15" x14ac:dyDescent="0.3">
      <c r="A31" s="1" t="s">
        <v>89</v>
      </c>
      <c r="B31" s="1" t="s">
        <v>90</v>
      </c>
      <c r="C31" s="2">
        <v>2370.1999999999998</v>
      </c>
      <c r="D31" s="1" t="s">
        <v>51</v>
      </c>
      <c r="E31" s="1" t="s">
        <v>29</v>
      </c>
      <c r="F31" s="1" t="s">
        <v>19</v>
      </c>
      <c r="G31" s="1" t="s">
        <v>20</v>
      </c>
      <c r="H31" s="1">
        <v>1143</v>
      </c>
      <c r="I31" s="1">
        <v>8</v>
      </c>
      <c r="J31" s="1">
        <v>2</v>
      </c>
      <c r="K31" s="2">
        <v>9074.41</v>
      </c>
      <c r="L31" s="1">
        <v>0</v>
      </c>
      <c r="M31" s="1">
        <v>0.61099999999999999</v>
      </c>
      <c r="N31" s="1">
        <v>3</v>
      </c>
      <c r="O31" s="3" t="s">
        <v>21</v>
      </c>
    </row>
    <row r="32" spans="1:15" x14ac:dyDescent="0.3">
      <c r="A32" s="1" t="s">
        <v>91</v>
      </c>
      <c r="B32" s="1" t="s">
        <v>92</v>
      </c>
      <c r="C32" s="2">
        <v>30396.87</v>
      </c>
      <c r="D32" s="1" t="s">
        <v>17</v>
      </c>
      <c r="E32" s="1" t="s">
        <v>39</v>
      </c>
      <c r="F32" s="1" t="s">
        <v>30</v>
      </c>
      <c r="G32" s="1" t="s">
        <v>20</v>
      </c>
      <c r="H32" s="1">
        <v>363</v>
      </c>
      <c r="I32" s="1">
        <v>9</v>
      </c>
      <c r="J32" s="1">
        <v>4</v>
      </c>
      <c r="K32" s="2">
        <v>2616.7800000000002</v>
      </c>
      <c r="L32" s="1">
        <v>0</v>
      </c>
      <c r="M32" s="1">
        <v>6.2E-2</v>
      </c>
      <c r="N32" s="1">
        <v>2</v>
      </c>
      <c r="O32" s="3" t="s">
        <v>21</v>
      </c>
    </row>
    <row r="33" spans="1:15" x14ac:dyDescent="0.3">
      <c r="A33" s="1" t="s">
        <v>93</v>
      </c>
      <c r="B33" s="1" t="s">
        <v>94</v>
      </c>
      <c r="C33" s="2">
        <v>8567.68</v>
      </c>
      <c r="D33" s="1" t="s">
        <v>24</v>
      </c>
      <c r="E33" s="1" t="s">
        <v>39</v>
      </c>
      <c r="F33" s="1" t="s">
        <v>26</v>
      </c>
      <c r="G33" s="1" t="s">
        <v>36</v>
      </c>
      <c r="H33" s="1">
        <v>1117</v>
      </c>
      <c r="I33" s="1">
        <v>8</v>
      </c>
      <c r="J33" s="1">
        <v>1</v>
      </c>
      <c r="K33" s="2">
        <v>27952.33</v>
      </c>
      <c r="L33" s="1">
        <v>0</v>
      </c>
      <c r="M33" s="1">
        <v>0.34399999999999997</v>
      </c>
      <c r="N33" s="1">
        <v>4</v>
      </c>
      <c r="O33" s="3" t="s">
        <v>21</v>
      </c>
    </row>
    <row r="34" spans="1:15" x14ac:dyDescent="0.3">
      <c r="A34" s="1" t="s">
        <v>95</v>
      </c>
      <c r="B34" s="1" t="s">
        <v>96</v>
      </c>
      <c r="C34" s="2">
        <v>3299.33</v>
      </c>
      <c r="D34" s="1" t="s">
        <v>17</v>
      </c>
      <c r="E34" s="1" t="s">
        <v>29</v>
      </c>
      <c r="F34" s="1" t="s">
        <v>19</v>
      </c>
      <c r="G34" s="1" t="s">
        <v>36</v>
      </c>
      <c r="H34" s="1">
        <v>564</v>
      </c>
      <c r="I34" s="1">
        <v>0</v>
      </c>
      <c r="J34" s="1">
        <v>1</v>
      </c>
      <c r="K34" s="2">
        <v>11517.82</v>
      </c>
      <c r="L34" s="1">
        <v>1</v>
      </c>
      <c r="M34" s="1">
        <v>0.94399999999999995</v>
      </c>
      <c r="N34" s="1">
        <v>9</v>
      </c>
      <c r="O34" s="3" t="s">
        <v>21</v>
      </c>
    </row>
    <row r="35" spans="1:15" x14ac:dyDescent="0.3">
      <c r="A35" s="1" t="s">
        <v>97</v>
      </c>
      <c r="B35" s="1" t="s">
        <v>98</v>
      </c>
      <c r="C35" s="2">
        <v>47446.83</v>
      </c>
      <c r="D35" s="1" t="s">
        <v>51</v>
      </c>
      <c r="E35" s="1" t="s">
        <v>29</v>
      </c>
      <c r="F35" s="1" t="s">
        <v>19</v>
      </c>
      <c r="G35" s="1" t="s">
        <v>36</v>
      </c>
      <c r="H35" s="1">
        <v>75</v>
      </c>
      <c r="I35" s="1">
        <v>21</v>
      </c>
      <c r="J35" s="1">
        <v>2</v>
      </c>
      <c r="K35" s="2">
        <v>4950.68</v>
      </c>
      <c r="L35" s="1">
        <v>0</v>
      </c>
      <c r="M35" s="1">
        <v>0.7</v>
      </c>
      <c r="N35" s="1">
        <v>7</v>
      </c>
      <c r="O35" s="3" t="s">
        <v>21</v>
      </c>
    </row>
    <row r="36" spans="1:15" x14ac:dyDescent="0.3">
      <c r="A36" s="1" t="s">
        <v>99</v>
      </c>
      <c r="B36" s="1" t="s">
        <v>100</v>
      </c>
      <c r="C36" s="2">
        <v>48283.32</v>
      </c>
      <c r="D36" s="1" t="s">
        <v>17</v>
      </c>
      <c r="E36" s="1" t="s">
        <v>29</v>
      </c>
      <c r="F36" s="1" t="s">
        <v>26</v>
      </c>
      <c r="G36" s="1" t="s">
        <v>56</v>
      </c>
      <c r="H36" s="1">
        <v>1421</v>
      </c>
      <c r="I36" s="1">
        <v>15</v>
      </c>
      <c r="J36" s="1">
        <v>0</v>
      </c>
      <c r="K36" s="2">
        <v>4356.41</v>
      </c>
      <c r="L36" s="1">
        <v>0</v>
      </c>
      <c r="M36" s="1">
        <v>0.36799999999999999</v>
      </c>
      <c r="N36" s="1">
        <v>1</v>
      </c>
      <c r="O36" s="3" t="s">
        <v>21</v>
      </c>
    </row>
    <row r="37" spans="1:15" x14ac:dyDescent="0.3">
      <c r="A37" s="1" t="s">
        <v>101</v>
      </c>
      <c r="B37" s="1" t="s">
        <v>102</v>
      </c>
      <c r="C37" s="2">
        <v>40429.449999999997</v>
      </c>
      <c r="D37" s="1" t="s">
        <v>17</v>
      </c>
      <c r="E37" s="1" t="s">
        <v>18</v>
      </c>
      <c r="F37" s="1" t="s">
        <v>26</v>
      </c>
      <c r="G37" s="1" t="s">
        <v>20</v>
      </c>
      <c r="H37" s="1">
        <v>1924</v>
      </c>
      <c r="I37" s="1">
        <v>13</v>
      </c>
      <c r="J37" s="1">
        <v>2</v>
      </c>
      <c r="K37" s="2">
        <v>12281.44</v>
      </c>
      <c r="L37" s="1">
        <v>0</v>
      </c>
      <c r="M37" s="1">
        <v>0.79200000000000004</v>
      </c>
      <c r="N37" s="1">
        <v>3</v>
      </c>
      <c r="O37" s="3" t="s">
        <v>21</v>
      </c>
    </row>
    <row r="38" spans="1:15" x14ac:dyDescent="0.3">
      <c r="A38" s="1" t="s">
        <v>103</v>
      </c>
      <c r="B38" s="1" t="s">
        <v>104</v>
      </c>
      <c r="C38" s="2">
        <v>15265.46</v>
      </c>
      <c r="D38" s="1" t="s">
        <v>24</v>
      </c>
      <c r="E38" s="1" t="s">
        <v>18</v>
      </c>
      <c r="F38" s="1" t="s">
        <v>30</v>
      </c>
      <c r="G38" s="1" t="s">
        <v>36</v>
      </c>
      <c r="H38" s="1">
        <v>630</v>
      </c>
      <c r="I38" s="1">
        <v>12</v>
      </c>
      <c r="J38" s="1">
        <v>4</v>
      </c>
      <c r="K38" s="2">
        <v>19003.02</v>
      </c>
      <c r="L38" s="1">
        <v>1</v>
      </c>
      <c r="M38" s="1">
        <v>0.83699999999999997</v>
      </c>
      <c r="N38" s="1">
        <v>5</v>
      </c>
      <c r="O38" s="3" t="s">
        <v>21</v>
      </c>
    </row>
    <row r="39" spans="1:15" x14ac:dyDescent="0.3">
      <c r="A39" s="1" t="s">
        <v>105</v>
      </c>
      <c r="B39" s="1" t="s">
        <v>106</v>
      </c>
      <c r="C39" s="2">
        <v>4928.72</v>
      </c>
      <c r="D39" s="1" t="s">
        <v>51</v>
      </c>
      <c r="E39" s="1" t="s">
        <v>18</v>
      </c>
      <c r="F39" s="1" t="s">
        <v>19</v>
      </c>
      <c r="G39" s="1" t="s">
        <v>36</v>
      </c>
      <c r="H39" s="1">
        <v>1647</v>
      </c>
      <c r="I39" s="1">
        <v>5</v>
      </c>
      <c r="J39" s="1">
        <v>0</v>
      </c>
      <c r="K39" s="2">
        <v>23355.69</v>
      </c>
      <c r="L39" s="1">
        <v>0</v>
      </c>
      <c r="M39" s="1">
        <v>0.152</v>
      </c>
      <c r="N39" s="1">
        <v>7</v>
      </c>
      <c r="O39" s="3" t="s">
        <v>21</v>
      </c>
    </row>
    <row r="40" spans="1:15" x14ac:dyDescent="0.3">
      <c r="A40" s="1" t="s">
        <v>107</v>
      </c>
      <c r="B40" s="1" t="s">
        <v>108</v>
      </c>
      <c r="C40" s="2">
        <v>34227.440000000002</v>
      </c>
      <c r="D40" s="1" t="s">
        <v>17</v>
      </c>
      <c r="E40" s="1" t="s">
        <v>18</v>
      </c>
      <c r="F40" s="1" t="s">
        <v>19</v>
      </c>
      <c r="G40" s="1" t="s">
        <v>31</v>
      </c>
      <c r="H40" s="1">
        <v>1168</v>
      </c>
      <c r="I40" s="1">
        <v>13</v>
      </c>
      <c r="J40" s="1">
        <v>0</v>
      </c>
      <c r="K40" s="2">
        <v>27745.69</v>
      </c>
      <c r="L40" s="1">
        <v>0</v>
      </c>
      <c r="M40" s="1">
        <v>0.58699999999999997</v>
      </c>
      <c r="N40" s="1">
        <v>5</v>
      </c>
      <c r="O40" s="3" t="s">
        <v>21</v>
      </c>
    </row>
    <row r="41" spans="1:15" x14ac:dyDescent="0.3">
      <c r="A41" s="1" t="s">
        <v>109</v>
      </c>
      <c r="B41" s="1" t="s">
        <v>110</v>
      </c>
      <c r="C41" s="2">
        <v>22035.62</v>
      </c>
      <c r="D41" s="1" t="s">
        <v>24</v>
      </c>
      <c r="E41" s="1" t="s">
        <v>18</v>
      </c>
      <c r="F41" s="1" t="s">
        <v>30</v>
      </c>
      <c r="G41" s="1" t="s">
        <v>36</v>
      </c>
      <c r="H41" s="1">
        <v>1119</v>
      </c>
      <c r="I41" s="1">
        <v>7</v>
      </c>
      <c r="J41" s="1">
        <v>1</v>
      </c>
      <c r="K41" s="2">
        <v>19107.490000000002</v>
      </c>
      <c r="L41" s="1">
        <v>0</v>
      </c>
      <c r="M41" s="1">
        <v>0.36699999999999999</v>
      </c>
      <c r="N41" s="1">
        <v>9</v>
      </c>
      <c r="O41" s="3" t="s">
        <v>21</v>
      </c>
    </row>
    <row r="42" spans="1:15" x14ac:dyDescent="0.3">
      <c r="A42" s="1" t="s">
        <v>111</v>
      </c>
      <c r="B42" s="1" t="s">
        <v>112</v>
      </c>
      <c r="C42" s="2">
        <v>6145.81</v>
      </c>
      <c r="D42" s="1" t="s">
        <v>17</v>
      </c>
      <c r="E42" s="1" t="s">
        <v>18</v>
      </c>
      <c r="F42" s="1" t="s">
        <v>30</v>
      </c>
      <c r="G42" s="1" t="s">
        <v>31</v>
      </c>
      <c r="H42" s="1">
        <v>93</v>
      </c>
      <c r="I42" s="1">
        <v>22</v>
      </c>
      <c r="J42" s="1">
        <v>0</v>
      </c>
      <c r="K42" s="2">
        <v>12677.79</v>
      </c>
      <c r="L42" s="1">
        <v>0</v>
      </c>
      <c r="M42" s="1">
        <v>0.50700000000000001</v>
      </c>
      <c r="N42" s="1">
        <v>7</v>
      </c>
      <c r="O42" s="3" t="s">
        <v>21</v>
      </c>
    </row>
    <row r="43" spans="1:15" x14ac:dyDescent="0.3">
      <c r="A43" s="1" t="s">
        <v>113</v>
      </c>
      <c r="B43" s="1" t="s">
        <v>114</v>
      </c>
      <c r="C43" s="2">
        <v>24784.09</v>
      </c>
      <c r="D43" s="1" t="s">
        <v>24</v>
      </c>
      <c r="E43" s="1" t="s">
        <v>39</v>
      </c>
      <c r="F43" s="1" t="s">
        <v>19</v>
      </c>
      <c r="G43" s="1" t="s">
        <v>46</v>
      </c>
      <c r="H43" s="1">
        <v>1987</v>
      </c>
      <c r="I43" s="1">
        <v>22</v>
      </c>
      <c r="J43" s="1">
        <v>4</v>
      </c>
      <c r="K43" s="2">
        <v>12716.2</v>
      </c>
      <c r="L43" s="1">
        <v>0</v>
      </c>
      <c r="M43" s="1">
        <v>0.46899999999999997</v>
      </c>
      <c r="N43" s="1">
        <v>1</v>
      </c>
      <c r="O43" s="3" t="s">
        <v>21</v>
      </c>
    </row>
    <row r="44" spans="1:15" x14ac:dyDescent="0.3">
      <c r="A44" s="1" t="s">
        <v>115</v>
      </c>
      <c r="B44" s="1" t="s">
        <v>116</v>
      </c>
      <c r="C44" s="2">
        <v>1767.71</v>
      </c>
      <c r="D44" s="1" t="s">
        <v>24</v>
      </c>
      <c r="E44" s="1" t="s">
        <v>25</v>
      </c>
      <c r="F44" s="1" t="s">
        <v>19</v>
      </c>
      <c r="G44" s="1" t="s">
        <v>36</v>
      </c>
      <c r="H44" s="1">
        <v>236</v>
      </c>
      <c r="I44" s="1">
        <v>17</v>
      </c>
      <c r="J44" s="1">
        <v>4</v>
      </c>
      <c r="K44" s="2">
        <v>17273.87</v>
      </c>
      <c r="L44" s="1">
        <v>0</v>
      </c>
      <c r="M44" s="1">
        <v>0.504</v>
      </c>
      <c r="N44" s="1">
        <v>6</v>
      </c>
      <c r="O44" s="3" t="s">
        <v>21</v>
      </c>
    </row>
    <row r="45" spans="1:15" x14ac:dyDescent="0.3">
      <c r="A45" s="1" t="s">
        <v>117</v>
      </c>
      <c r="B45" s="1" t="s">
        <v>118</v>
      </c>
      <c r="C45" s="2">
        <v>45470.55</v>
      </c>
      <c r="D45" s="1" t="s">
        <v>17</v>
      </c>
      <c r="E45" s="1" t="s">
        <v>39</v>
      </c>
      <c r="F45" s="1" t="s">
        <v>26</v>
      </c>
      <c r="G45" s="1" t="s">
        <v>31</v>
      </c>
      <c r="H45" s="1">
        <v>1293</v>
      </c>
      <c r="I45" s="1">
        <v>19</v>
      </c>
      <c r="J45" s="1">
        <v>4</v>
      </c>
      <c r="K45" s="2">
        <v>16187.42</v>
      </c>
      <c r="L45" s="1">
        <v>0</v>
      </c>
      <c r="M45" s="1">
        <v>0.52200000000000002</v>
      </c>
      <c r="N45" s="1">
        <v>2</v>
      </c>
      <c r="O45" s="3" t="s">
        <v>21</v>
      </c>
    </row>
    <row r="46" spans="1:15" x14ac:dyDescent="0.3">
      <c r="A46" s="1" t="s">
        <v>119</v>
      </c>
      <c r="B46" s="1" t="s">
        <v>120</v>
      </c>
      <c r="C46" s="2">
        <v>12976.06</v>
      </c>
      <c r="D46" s="1" t="s">
        <v>51</v>
      </c>
      <c r="E46" s="1" t="s">
        <v>25</v>
      </c>
      <c r="F46" s="1" t="s">
        <v>26</v>
      </c>
      <c r="G46" s="1" t="s">
        <v>36</v>
      </c>
      <c r="H46" s="1">
        <v>901</v>
      </c>
      <c r="I46" s="1">
        <v>0</v>
      </c>
      <c r="J46" s="1">
        <v>3</v>
      </c>
      <c r="K46" s="2">
        <v>19260.36</v>
      </c>
      <c r="L46" s="1">
        <v>0</v>
      </c>
      <c r="M46" s="1">
        <v>6.9000000000000006E-2</v>
      </c>
      <c r="N46" s="1">
        <v>6</v>
      </c>
      <c r="O46" s="3" t="s">
        <v>21</v>
      </c>
    </row>
    <row r="47" spans="1:15" x14ac:dyDescent="0.3">
      <c r="A47" s="1" t="s">
        <v>121</v>
      </c>
      <c r="B47" s="1" t="s">
        <v>122</v>
      </c>
      <c r="C47" s="2">
        <v>33142.99</v>
      </c>
      <c r="D47" s="1" t="s">
        <v>51</v>
      </c>
      <c r="E47" s="1" t="s">
        <v>39</v>
      </c>
      <c r="F47" s="1" t="s">
        <v>19</v>
      </c>
      <c r="G47" s="1" t="s">
        <v>46</v>
      </c>
      <c r="H47" s="1">
        <v>1022</v>
      </c>
      <c r="I47" s="1">
        <v>11</v>
      </c>
      <c r="J47" s="1">
        <v>0</v>
      </c>
      <c r="K47" s="2">
        <v>15151.97</v>
      </c>
      <c r="L47" s="1">
        <v>0</v>
      </c>
      <c r="M47" s="1">
        <v>0.17799999999999999</v>
      </c>
      <c r="N47" s="1">
        <v>3</v>
      </c>
      <c r="O47" s="3" t="s">
        <v>21</v>
      </c>
    </row>
    <row r="48" spans="1:15" x14ac:dyDescent="0.3">
      <c r="A48" s="1" t="s">
        <v>123</v>
      </c>
      <c r="B48" s="1" t="s">
        <v>124</v>
      </c>
      <c r="C48" s="2">
        <v>15619.97</v>
      </c>
      <c r="D48" s="1" t="s">
        <v>24</v>
      </c>
      <c r="E48" s="1" t="s">
        <v>39</v>
      </c>
      <c r="F48" s="1" t="s">
        <v>19</v>
      </c>
      <c r="G48" s="1" t="s">
        <v>36</v>
      </c>
      <c r="H48" s="1">
        <v>29</v>
      </c>
      <c r="I48" s="1">
        <v>10</v>
      </c>
      <c r="J48" s="1">
        <v>0</v>
      </c>
      <c r="K48" s="2">
        <v>1863.83</v>
      </c>
      <c r="L48" s="1">
        <v>1</v>
      </c>
      <c r="M48" s="1">
        <v>0.56599999999999995</v>
      </c>
      <c r="N48" s="1">
        <v>2</v>
      </c>
      <c r="O48" s="3" t="s">
        <v>21</v>
      </c>
    </row>
    <row r="49" spans="1:15" x14ac:dyDescent="0.3">
      <c r="A49" s="1" t="s">
        <v>125</v>
      </c>
      <c r="B49" s="1" t="s">
        <v>126</v>
      </c>
      <c r="C49" s="2">
        <v>26027.4</v>
      </c>
      <c r="D49" s="1" t="s">
        <v>51</v>
      </c>
      <c r="E49" s="1" t="s">
        <v>18</v>
      </c>
      <c r="F49" s="1" t="s">
        <v>26</v>
      </c>
      <c r="G49" s="1" t="s">
        <v>31</v>
      </c>
      <c r="H49" s="1">
        <v>1068</v>
      </c>
      <c r="I49" s="1">
        <v>12</v>
      </c>
      <c r="J49" s="1">
        <v>4</v>
      </c>
      <c r="K49" s="2">
        <v>15071.78</v>
      </c>
      <c r="L49" s="1">
        <v>1</v>
      </c>
      <c r="M49" s="1">
        <v>0.93600000000000005</v>
      </c>
      <c r="N49" s="1">
        <v>3</v>
      </c>
      <c r="O49" s="3" t="s">
        <v>21</v>
      </c>
    </row>
    <row r="50" spans="1:15" x14ac:dyDescent="0.3">
      <c r="A50" s="1" t="s">
        <v>127</v>
      </c>
      <c r="B50" s="1" t="s">
        <v>128</v>
      </c>
      <c r="C50" s="2">
        <v>27358.18</v>
      </c>
      <c r="D50" s="1" t="s">
        <v>24</v>
      </c>
      <c r="E50" s="1" t="s">
        <v>18</v>
      </c>
      <c r="F50" s="1" t="s">
        <v>30</v>
      </c>
      <c r="G50" s="1" t="s">
        <v>46</v>
      </c>
      <c r="H50" s="1">
        <v>1898</v>
      </c>
      <c r="I50" s="1">
        <v>22</v>
      </c>
      <c r="J50" s="1">
        <v>1</v>
      </c>
      <c r="K50" s="2">
        <v>773.74</v>
      </c>
      <c r="L50" s="1">
        <v>0</v>
      </c>
      <c r="M50" s="1">
        <v>0.747</v>
      </c>
      <c r="N50" s="1">
        <v>4</v>
      </c>
      <c r="O50" s="3" t="s">
        <v>21</v>
      </c>
    </row>
    <row r="51" spans="1:15" x14ac:dyDescent="0.3">
      <c r="A51" s="1" t="s">
        <v>129</v>
      </c>
      <c r="B51" s="1" t="s">
        <v>130</v>
      </c>
      <c r="C51" s="2">
        <v>9283.48</v>
      </c>
      <c r="D51" s="1" t="s">
        <v>51</v>
      </c>
      <c r="E51" s="1" t="s">
        <v>25</v>
      </c>
      <c r="F51" s="1" t="s">
        <v>30</v>
      </c>
      <c r="G51" s="1" t="s">
        <v>46</v>
      </c>
      <c r="H51" s="1">
        <v>764</v>
      </c>
      <c r="I51" s="1">
        <v>3</v>
      </c>
      <c r="J51" s="1">
        <v>0</v>
      </c>
      <c r="K51" s="2">
        <v>5500.18</v>
      </c>
      <c r="L51" s="1">
        <v>0</v>
      </c>
      <c r="M51" s="1">
        <v>0.23899999999999999</v>
      </c>
      <c r="N51" s="1">
        <v>1</v>
      </c>
      <c r="O51" s="3" t="s">
        <v>21</v>
      </c>
    </row>
    <row r="52" spans="1:15" x14ac:dyDescent="0.3">
      <c r="A52" s="1" t="s">
        <v>131</v>
      </c>
      <c r="B52" s="1" t="s">
        <v>132</v>
      </c>
      <c r="C52" s="2">
        <v>48480.75</v>
      </c>
      <c r="D52" s="1" t="s">
        <v>17</v>
      </c>
      <c r="E52" s="1" t="s">
        <v>25</v>
      </c>
      <c r="F52" s="1" t="s">
        <v>19</v>
      </c>
      <c r="G52" s="1" t="s">
        <v>46</v>
      </c>
      <c r="H52" s="1">
        <v>1476</v>
      </c>
      <c r="I52" s="1">
        <v>5</v>
      </c>
      <c r="J52" s="1">
        <v>3</v>
      </c>
      <c r="K52" s="2">
        <v>11684.09</v>
      </c>
      <c r="L52" s="1">
        <v>0</v>
      </c>
      <c r="M52" s="1">
        <v>0.36199999999999999</v>
      </c>
      <c r="N52" s="1">
        <v>4</v>
      </c>
      <c r="O52" s="3" t="s">
        <v>21</v>
      </c>
    </row>
    <row r="53" spans="1:15" x14ac:dyDescent="0.3">
      <c r="A53" s="1" t="s">
        <v>133</v>
      </c>
      <c r="B53" s="1" t="s">
        <v>134</v>
      </c>
      <c r="C53" s="2">
        <v>38767.879999999997</v>
      </c>
      <c r="D53" s="1" t="s">
        <v>51</v>
      </c>
      <c r="E53" s="1" t="s">
        <v>18</v>
      </c>
      <c r="F53" s="1" t="s">
        <v>19</v>
      </c>
      <c r="G53" s="1" t="s">
        <v>56</v>
      </c>
      <c r="H53" s="1">
        <v>950</v>
      </c>
      <c r="I53" s="1">
        <v>21</v>
      </c>
      <c r="J53" s="1">
        <v>0</v>
      </c>
      <c r="K53" s="2">
        <v>16584.12</v>
      </c>
      <c r="L53" s="1">
        <v>0</v>
      </c>
      <c r="M53" s="1">
        <v>0.33500000000000002</v>
      </c>
      <c r="N53" s="1">
        <v>6</v>
      </c>
      <c r="O53" s="3" t="s">
        <v>21</v>
      </c>
    </row>
    <row r="54" spans="1:15" x14ac:dyDescent="0.3">
      <c r="A54" s="1" t="s">
        <v>135</v>
      </c>
      <c r="B54" s="1" t="s">
        <v>136</v>
      </c>
      <c r="C54" s="2">
        <v>46977.97</v>
      </c>
      <c r="D54" s="1" t="s">
        <v>24</v>
      </c>
      <c r="E54" s="1" t="s">
        <v>39</v>
      </c>
      <c r="F54" s="1" t="s">
        <v>26</v>
      </c>
      <c r="G54" s="1" t="s">
        <v>31</v>
      </c>
      <c r="H54" s="1">
        <v>279</v>
      </c>
      <c r="I54" s="1">
        <v>12</v>
      </c>
      <c r="J54" s="1">
        <v>2</v>
      </c>
      <c r="K54" s="2">
        <v>5626.06</v>
      </c>
      <c r="L54" s="1">
        <v>0</v>
      </c>
      <c r="M54" s="1">
        <v>0.77</v>
      </c>
      <c r="N54" s="1">
        <v>5</v>
      </c>
      <c r="O54" s="3" t="s">
        <v>21</v>
      </c>
    </row>
    <row r="55" spans="1:15" x14ac:dyDescent="0.3">
      <c r="A55" s="1" t="s">
        <v>137</v>
      </c>
      <c r="B55" s="1" t="s">
        <v>138</v>
      </c>
      <c r="C55" s="2">
        <v>44746.63</v>
      </c>
      <c r="D55" s="1" t="s">
        <v>24</v>
      </c>
      <c r="E55" s="1" t="s">
        <v>25</v>
      </c>
      <c r="F55" s="1" t="s">
        <v>19</v>
      </c>
      <c r="G55" s="1" t="s">
        <v>56</v>
      </c>
      <c r="H55" s="1">
        <v>1768</v>
      </c>
      <c r="I55" s="1">
        <v>23</v>
      </c>
      <c r="J55" s="1">
        <v>3</v>
      </c>
      <c r="K55" s="2">
        <v>8361.39</v>
      </c>
      <c r="L55" s="1">
        <v>0</v>
      </c>
      <c r="M55" s="1">
        <v>0.97199999999999998</v>
      </c>
      <c r="N55" s="1">
        <v>5</v>
      </c>
      <c r="O55" s="3" t="s">
        <v>21</v>
      </c>
    </row>
    <row r="56" spans="1:15" x14ac:dyDescent="0.3">
      <c r="A56" s="1" t="s">
        <v>139</v>
      </c>
      <c r="B56" s="1" t="s">
        <v>140</v>
      </c>
      <c r="C56" s="2">
        <v>29915.1</v>
      </c>
      <c r="D56" s="1" t="s">
        <v>51</v>
      </c>
      <c r="E56" s="1" t="s">
        <v>29</v>
      </c>
      <c r="F56" s="1" t="s">
        <v>30</v>
      </c>
      <c r="G56" s="1" t="s">
        <v>46</v>
      </c>
      <c r="H56" s="1">
        <v>415</v>
      </c>
      <c r="I56" s="1">
        <v>21</v>
      </c>
      <c r="J56" s="1">
        <v>1</v>
      </c>
      <c r="K56" s="2">
        <v>11288.91</v>
      </c>
      <c r="L56" s="1">
        <v>0</v>
      </c>
      <c r="M56" s="1">
        <v>0.35499999999999998</v>
      </c>
      <c r="N56" s="1">
        <v>9</v>
      </c>
      <c r="O56" s="3" t="s">
        <v>21</v>
      </c>
    </row>
    <row r="57" spans="1:15" x14ac:dyDescent="0.3">
      <c r="A57" s="1" t="s">
        <v>141</v>
      </c>
      <c r="B57" s="1" t="s">
        <v>142</v>
      </c>
      <c r="C57" s="2">
        <v>46097.62</v>
      </c>
      <c r="D57" s="1" t="s">
        <v>17</v>
      </c>
      <c r="E57" s="1" t="s">
        <v>29</v>
      </c>
      <c r="F57" s="1" t="s">
        <v>26</v>
      </c>
      <c r="G57" s="1" t="s">
        <v>56</v>
      </c>
      <c r="H57" s="1">
        <v>1541</v>
      </c>
      <c r="I57" s="1">
        <v>12</v>
      </c>
      <c r="J57" s="1">
        <v>3</v>
      </c>
      <c r="K57" s="2">
        <v>5996.73</v>
      </c>
      <c r="L57" s="1">
        <v>0</v>
      </c>
      <c r="M57" s="1">
        <v>1.4999999999999999E-2</v>
      </c>
      <c r="N57" s="1">
        <v>9</v>
      </c>
      <c r="O57" s="3" t="s">
        <v>21</v>
      </c>
    </row>
    <row r="58" spans="1:15" x14ac:dyDescent="0.3">
      <c r="A58" s="1" t="s">
        <v>143</v>
      </c>
      <c r="B58" s="1" t="s">
        <v>144</v>
      </c>
      <c r="C58" s="2">
        <v>4470.2</v>
      </c>
      <c r="D58" s="1" t="s">
        <v>24</v>
      </c>
      <c r="E58" s="1" t="s">
        <v>29</v>
      </c>
      <c r="F58" s="1" t="s">
        <v>26</v>
      </c>
      <c r="G58" s="1" t="s">
        <v>36</v>
      </c>
      <c r="H58" s="1">
        <v>313</v>
      </c>
      <c r="I58" s="1">
        <v>5</v>
      </c>
      <c r="J58" s="1">
        <v>3</v>
      </c>
      <c r="K58" s="2">
        <v>29963.03</v>
      </c>
      <c r="L58" s="1">
        <v>0</v>
      </c>
      <c r="M58" s="1">
        <v>0.93700000000000006</v>
      </c>
      <c r="N58" s="1">
        <v>9</v>
      </c>
      <c r="O58" s="3" t="s">
        <v>21</v>
      </c>
    </row>
    <row r="59" spans="1:15" x14ac:dyDescent="0.3">
      <c r="A59" s="1" t="s">
        <v>145</v>
      </c>
      <c r="B59" s="1" t="s">
        <v>146</v>
      </c>
      <c r="C59" s="2">
        <v>9839.34</v>
      </c>
      <c r="D59" s="1" t="s">
        <v>24</v>
      </c>
      <c r="E59" s="1" t="s">
        <v>25</v>
      </c>
      <c r="F59" s="1" t="s">
        <v>30</v>
      </c>
      <c r="G59" s="1" t="s">
        <v>56</v>
      </c>
      <c r="H59" s="1">
        <v>1703</v>
      </c>
      <c r="I59" s="1">
        <v>21</v>
      </c>
      <c r="J59" s="1">
        <v>0</v>
      </c>
      <c r="K59" s="2">
        <v>24160.93</v>
      </c>
      <c r="L59" s="1">
        <v>1</v>
      </c>
      <c r="M59" s="1">
        <v>0.753</v>
      </c>
      <c r="N59" s="1">
        <v>7</v>
      </c>
      <c r="O59" s="3" t="s">
        <v>21</v>
      </c>
    </row>
    <row r="60" spans="1:15" x14ac:dyDescent="0.3">
      <c r="A60" s="1" t="s">
        <v>147</v>
      </c>
      <c r="B60" s="1" t="s">
        <v>148</v>
      </c>
      <c r="C60" s="2">
        <v>2309.1</v>
      </c>
      <c r="D60" s="1" t="s">
        <v>24</v>
      </c>
      <c r="E60" s="1" t="s">
        <v>18</v>
      </c>
      <c r="F60" s="1" t="s">
        <v>30</v>
      </c>
      <c r="G60" s="1" t="s">
        <v>20</v>
      </c>
      <c r="H60" s="1">
        <v>1318</v>
      </c>
      <c r="I60" s="1">
        <v>3</v>
      </c>
      <c r="J60" s="1">
        <v>3</v>
      </c>
      <c r="K60" s="2">
        <v>24347</v>
      </c>
      <c r="L60" s="1">
        <v>0</v>
      </c>
      <c r="M60" s="1">
        <v>0.83399999999999996</v>
      </c>
      <c r="N60" s="1">
        <v>9</v>
      </c>
      <c r="O60" s="3" t="s">
        <v>21</v>
      </c>
    </row>
    <row r="61" spans="1:15" x14ac:dyDescent="0.3">
      <c r="A61" s="1" t="s">
        <v>149</v>
      </c>
      <c r="B61" s="1" t="s">
        <v>150</v>
      </c>
      <c r="C61" s="2">
        <v>16300.25</v>
      </c>
      <c r="D61" s="1" t="s">
        <v>24</v>
      </c>
      <c r="E61" s="1" t="s">
        <v>18</v>
      </c>
      <c r="F61" s="1" t="s">
        <v>26</v>
      </c>
      <c r="G61" s="1" t="s">
        <v>46</v>
      </c>
      <c r="H61" s="1">
        <v>1581</v>
      </c>
      <c r="I61" s="1">
        <v>20</v>
      </c>
      <c r="J61" s="1">
        <v>4</v>
      </c>
      <c r="K61" s="2">
        <v>17109.03</v>
      </c>
      <c r="L61" s="1">
        <v>0</v>
      </c>
      <c r="M61" s="1">
        <v>0.20899999999999999</v>
      </c>
      <c r="N61" s="1">
        <v>8</v>
      </c>
      <c r="O61" s="3" t="s">
        <v>21</v>
      </c>
    </row>
    <row r="62" spans="1:15" x14ac:dyDescent="0.3">
      <c r="A62" s="1" t="s">
        <v>151</v>
      </c>
      <c r="B62" s="1" t="s">
        <v>152</v>
      </c>
      <c r="C62" s="2">
        <v>19464.43</v>
      </c>
      <c r="D62" s="1" t="s">
        <v>24</v>
      </c>
      <c r="E62" s="1" t="s">
        <v>18</v>
      </c>
      <c r="F62" s="1" t="s">
        <v>19</v>
      </c>
      <c r="G62" s="1" t="s">
        <v>46</v>
      </c>
      <c r="H62" s="1">
        <v>1018</v>
      </c>
      <c r="I62" s="1">
        <v>2</v>
      </c>
      <c r="J62" s="1">
        <v>3</v>
      </c>
      <c r="K62" s="2">
        <v>28843.61</v>
      </c>
      <c r="L62" s="1">
        <v>0</v>
      </c>
      <c r="M62" s="1">
        <v>0.64600000000000002</v>
      </c>
      <c r="N62" s="1">
        <v>8</v>
      </c>
      <c r="O62" s="3" t="s">
        <v>21</v>
      </c>
    </row>
    <row r="63" spans="1:15" x14ac:dyDescent="0.3">
      <c r="A63" s="1" t="s">
        <v>153</v>
      </c>
      <c r="B63" s="1" t="s">
        <v>154</v>
      </c>
      <c r="C63" s="2">
        <v>13603.88</v>
      </c>
      <c r="D63" s="1" t="s">
        <v>17</v>
      </c>
      <c r="E63" s="1" t="s">
        <v>25</v>
      </c>
      <c r="F63" s="1" t="s">
        <v>30</v>
      </c>
      <c r="G63" s="1" t="s">
        <v>31</v>
      </c>
      <c r="H63" s="1">
        <v>819</v>
      </c>
      <c r="I63" s="1">
        <v>14</v>
      </c>
      <c r="J63" s="1">
        <v>0</v>
      </c>
      <c r="K63" s="2">
        <v>21992.799999999999</v>
      </c>
      <c r="L63" s="1">
        <v>0</v>
      </c>
      <c r="M63" s="1">
        <v>0.23300000000000001</v>
      </c>
      <c r="N63" s="1">
        <v>5</v>
      </c>
      <c r="O63" s="3" t="s">
        <v>21</v>
      </c>
    </row>
    <row r="64" spans="1:15" x14ac:dyDescent="0.3">
      <c r="A64" s="1" t="s">
        <v>155</v>
      </c>
      <c r="B64" s="1" t="s">
        <v>156</v>
      </c>
      <c r="C64" s="2">
        <v>41445.440000000002</v>
      </c>
      <c r="D64" s="1" t="s">
        <v>51</v>
      </c>
      <c r="E64" s="1" t="s">
        <v>25</v>
      </c>
      <c r="F64" s="1" t="s">
        <v>26</v>
      </c>
      <c r="G64" s="1" t="s">
        <v>36</v>
      </c>
      <c r="H64" s="1">
        <v>1062</v>
      </c>
      <c r="I64" s="1">
        <v>10</v>
      </c>
      <c r="J64" s="1">
        <v>4</v>
      </c>
      <c r="K64" s="2">
        <v>9993.27</v>
      </c>
      <c r="L64" s="1">
        <v>0</v>
      </c>
      <c r="M64" s="1">
        <v>1.2E-2</v>
      </c>
      <c r="N64" s="1">
        <v>9</v>
      </c>
      <c r="O64" s="3" t="s">
        <v>21</v>
      </c>
    </row>
    <row r="65" spans="1:15" x14ac:dyDescent="0.3">
      <c r="A65" s="1" t="s">
        <v>157</v>
      </c>
      <c r="B65" s="1" t="s">
        <v>158</v>
      </c>
      <c r="C65" s="2">
        <v>17869.830000000002</v>
      </c>
      <c r="D65" s="1" t="s">
        <v>17</v>
      </c>
      <c r="E65" s="1" t="s">
        <v>29</v>
      </c>
      <c r="F65" s="1" t="s">
        <v>19</v>
      </c>
      <c r="G65" s="1" t="s">
        <v>31</v>
      </c>
      <c r="H65" s="1">
        <v>400</v>
      </c>
      <c r="I65" s="1">
        <v>1</v>
      </c>
      <c r="J65" s="1">
        <v>1</v>
      </c>
      <c r="K65" s="2">
        <v>18354.75</v>
      </c>
      <c r="L65" s="1">
        <v>0</v>
      </c>
      <c r="M65" s="1">
        <v>0.157</v>
      </c>
      <c r="N65" s="1">
        <v>8</v>
      </c>
      <c r="O65" s="3" t="s">
        <v>21</v>
      </c>
    </row>
    <row r="66" spans="1:15" x14ac:dyDescent="0.3">
      <c r="A66" s="1" t="s">
        <v>159</v>
      </c>
      <c r="B66" s="1" t="s">
        <v>160</v>
      </c>
      <c r="C66" s="2">
        <v>14082.68</v>
      </c>
      <c r="D66" s="1" t="s">
        <v>17</v>
      </c>
      <c r="E66" s="1" t="s">
        <v>25</v>
      </c>
      <c r="F66" s="1" t="s">
        <v>19</v>
      </c>
      <c r="G66" s="1" t="s">
        <v>56</v>
      </c>
      <c r="H66" s="1">
        <v>1449</v>
      </c>
      <c r="I66" s="1">
        <v>22</v>
      </c>
      <c r="J66" s="1">
        <v>2</v>
      </c>
      <c r="K66" s="2">
        <v>16356.63</v>
      </c>
      <c r="L66" s="1">
        <v>0</v>
      </c>
      <c r="M66" s="1">
        <v>0.92300000000000004</v>
      </c>
      <c r="N66" s="1">
        <v>7</v>
      </c>
      <c r="O66" s="3" t="s">
        <v>21</v>
      </c>
    </row>
    <row r="67" spans="1:15" x14ac:dyDescent="0.3">
      <c r="A67" s="1" t="s">
        <v>161</v>
      </c>
      <c r="B67" s="1" t="s">
        <v>162</v>
      </c>
      <c r="C67" s="2">
        <v>27157.67</v>
      </c>
      <c r="D67" s="1" t="s">
        <v>24</v>
      </c>
      <c r="E67" s="1" t="s">
        <v>29</v>
      </c>
      <c r="F67" s="1" t="s">
        <v>26</v>
      </c>
      <c r="G67" s="1" t="s">
        <v>20</v>
      </c>
      <c r="H67" s="1">
        <v>1942</v>
      </c>
      <c r="I67" s="1">
        <v>16</v>
      </c>
      <c r="J67" s="1">
        <v>3</v>
      </c>
      <c r="K67" s="2">
        <v>17450.64</v>
      </c>
      <c r="L67" s="1">
        <v>0</v>
      </c>
      <c r="M67" s="1">
        <v>0.215</v>
      </c>
      <c r="N67" s="1">
        <v>8</v>
      </c>
      <c r="O67" s="3" t="s">
        <v>21</v>
      </c>
    </row>
    <row r="68" spans="1:15" x14ac:dyDescent="0.3">
      <c r="A68" s="1" t="s">
        <v>163</v>
      </c>
      <c r="B68" s="1" t="s">
        <v>164</v>
      </c>
      <c r="C68" s="2">
        <v>7089.17</v>
      </c>
      <c r="D68" s="1" t="s">
        <v>17</v>
      </c>
      <c r="E68" s="1" t="s">
        <v>29</v>
      </c>
      <c r="F68" s="1" t="s">
        <v>30</v>
      </c>
      <c r="G68" s="1" t="s">
        <v>20</v>
      </c>
      <c r="H68" s="1">
        <v>1800</v>
      </c>
      <c r="I68" s="1">
        <v>22</v>
      </c>
      <c r="J68" s="1">
        <v>4</v>
      </c>
      <c r="K68" s="2">
        <v>24550.03</v>
      </c>
      <c r="L68" s="1">
        <v>0</v>
      </c>
      <c r="M68" s="1">
        <v>0.58499999999999996</v>
      </c>
      <c r="N68" s="1">
        <v>9</v>
      </c>
      <c r="O68" s="3" t="s">
        <v>21</v>
      </c>
    </row>
    <row r="69" spans="1:15" x14ac:dyDescent="0.3">
      <c r="A69" s="1" t="s">
        <v>165</v>
      </c>
      <c r="B69" s="1" t="s">
        <v>166</v>
      </c>
      <c r="C69" s="2">
        <v>40119.74</v>
      </c>
      <c r="D69" s="1" t="s">
        <v>24</v>
      </c>
      <c r="E69" s="1" t="s">
        <v>18</v>
      </c>
      <c r="F69" s="1" t="s">
        <v>19</v>
      </c>
      <c r="G69" s="1" t="s">
        <v>20</v>
      </c>
      <c r="H69" s="1">
        <v>918</v>
      </c>
      <c r="I69" s="1">
        <v>1</v>
      </c>
      <c r="J69" s="1">
        <v>4</v>
      </c>
      <c r="K69" s="2">
        <v>15335.9</v>
      </c>
      <c r="L69" s="1">
        <v>0</v>
      </c>
      <c r="M69" s="1">
        <v>0.96799999999999997</v>
      </c>
      <c r="N69" s="1">
        <v>7</v>
      </c>
      <c r="O69" s="3" t="s">
        <v>21</v>
      </c>
    </row>
    <row r="70" spans="1:15" x14ac:dyDescent="0.3">
      <c r="A70" s="1" t="s">
        <v>167</v>
      </c>
      <c r="B70" s="1" t="s">
        <v>168</v>
      </c>
      <c r="C70" s="2">
        <v>3773.8</v>
      </c>
      <c r="D70" s="1" t="s">
        <v>17</v>
      </c>
      <c r="E70" s="1" t="s">
        <v>25</v>
      </c>
      <c r="F70" s="1" t="s">
        <v>30</v>
      </c>
      <c r="G70" s="1" t="s">
        <v>20</v>
      </c>
      <c r="H70" s="1">
        <v>1983</v>
      </c>
      <c r="I70" s="1">
        <v>20</v>
      </c>
      <c r="J70" s="1">
        <v>1</v>
      </c>
      <c r="K70" s="2">
        <v>21886.35</v>
      </c>
      <c r="L70" s="1">
        <v>0</v>
      </c>
      <c r="M70" s="1">
        <v>7.5999999999999998E-2</v>
      </c>
      <c r="N70" s="1">
        <v>9</v>
      </c>
      <c r="O70" s="3" t="s">
        <v>21</v>
      </c>
    </row>
    <row r="71" spans="1:15" x14ac:dyDescent="0.3">
      <c r="A71" s="1" t="s">
        <v>169</v>
      </c>
      <c r="B71" s="1" t="s">
        <v>170</v>
      </c>
      <c r="C71" s="2">
        <v>49345</v>
      </c>
      <c r="D71" s="1" t="s">
        <v>24</v>
      </c>
      <c r="E71" s="1" t="s">
        <v>18</v>
      </c>
      <c r="F71" s="1" t="s">
        <v>26</v>
      </c>
      <c r="G71" s="1" t="s">
        <v>36</v>
      </c>
      <c r="H71" s="1">
        <v>151</v>
      </c>
      <c r="I71" s="1">
        <v>0</v>
      </c>
      <c r="J71" s="1">
        <v>1</v>
      </c>
      <c r="K71" s="2">
        <v>7592.84</v>
      </c>
      <c r="L71" s="1">
        <v>0</v>
      </c>
      <c r="M71" s="1">
        <v>0.80800000000000005</v>
      </c>
      <c r="N71" s="1">
        <v>8</v>
      </c>
      <c r="O71" s="3" t="s">
        <v>21</v>
      </c>
    </row>
    <row r="72" spans="1:15" x14ac:dyDescent="0.3">
      <c r="A72" s="1" t="s">
        <v>171</v>
      </c>
      <c r="B72" s="1" t="s">
        <v>172</v>
      </c>
      <c r="C72" s="2">
        <v>38623.629999999997</v>
      </c>
      <c r="D72" s="1" t="s">
        <v>24</v>
      </c>
      <c r="E72" s="1" t="s">
        <v>18</v>
      </c>
      <c r="F72" s="1" t="s">
        <v>30</v>
      </c>
      <c r="G72" s="1" t="s">
        <v>56</v>
      </c>
      <c r="H72" s="1">
        <v>655</v>
      </c>
      <c r="I72" s="1">
        <v>4</v>
      </c>
      <c r="J72" s="1">
        <v>2</v>
      </c>
      <c r="K72" s="2">
        <v>27968.65</v>
      </c>
      <c r="L72" s="1">
        <v>0</v>
      </c>
      <c r="M72" s="1">
        <v>0.59799999999999998</v>
      </c>
      <c r="N72" s="1">
        <v>2</v>
      </c>
      <c r="O72" s="3" t="s">
        <v>21</v>
      </c>
    </row>
    <row r="73" spans="1:15" x14ac:dyDescent="0.3">
      <c r="A73" s="1" t="s">
        <v>173</v>
      </c>
      <c r="B73" s="1" t="s">
        <v>174</v>
      </c>
      <c r="C73" s="2">
        <v>9975.85</v>
      </c>
      <c r="D73" s="1" t="s">
        <v>17</v>
      </c>
      <c r="E73" s="1" t="s">
        <v>25</v>
      </c>
      <c r="F73" s="1" t="s">
        <v>19</v>
      </c>
      <c r="G73" s="1" t="s">
        <v>20</v>
      </c>
      <c r="H73" s="1">
        <v>1689</v>
      </c>
      <c r="I73" s="1">
        <v>19</v>
      </c>
      <c r="J73" s="1">
        <v>2</v>
      </c>
      <c r="K73" s="2">
        <v>2682.83</v>
      </c>
      <c r="L73" s="1">
        <v>0</v>
      </c>
      <c r="M73" s="1">
        <v>0.32300000000000001</v>
      </c>
      <c r="N73" s="1">
        <v>3</v>
      </c>
      <c r="O73" s="3" t="s">
        <v>21</v>
      </c>
    </row>
    <row r="74" spans="1:15" x14ac:dyDescent="0.3">
      <c r="A74" s="1" t="s">
        <v>175</v>
      </c>
      <c r="B74" s="1" t="s">
        <v>176</v>
      </c>
      <c r="C74" s="2">
        <v>325.83</v>
      </c>
      <c r="D74" s="1" t="s">
        <v>17</v>
      </c>
      <c r="E74" s="1" t="s">
        <v>25</v>
      </c>
      <c r="F74" s="1" t="s">
        <v>26</v>
      </c>
      <c r="G74" s="1" t="s">
        <v>46</v>
      </c>
      <c r="H74" s="1">
        <v>818</v>
      </c>
      <c r="I74" s="1">
        <v>16</v>
      </c>
      <c r="J74" s="1">
        <v>0</v>
      </c>
      <c r="K74" s="2">
        <v>29808.04</v>
      </c>
      <c r="L74" s="1">
        <v>0</v>
      </c>
      <c r="M74" s="1">
        <v>0.36399999999999999</v>
      </c>
      <c r="N74" s="1">
        <v>6</v>
      </c>
      <c r="O74" s="3" t="s">
        <v>21</v>
      </c>
    </row>
    <row r="75" spans="1:15" x14ac:dyDescent="0.3">
      <c r="A75" s="1" t="s">
        <v>177</v>
      </c>
      <c r="B75" s="1" t="s">
        <v>178</v>
      </c>
      <c r="C75" s="2">
        <v>40782.300000000003</v>
      </c>
      <c r="D75" s="1" t="s">
        <v>51</v>
      </c>
      <c r="E75" s="1" t="s">
        <v>39</v>
      </c>
      <c r="F75" s="1" t="s">
        <v>19</v>
      </c>
      <c r="G75" s="1" t="s">
        <v>56</v>
      </c>
      <c r="H75" s="1">
        <v>957</v>
      </c>
      <c r="I75" s="1">
        <v>0</v>
      </c>
      <c r="J75" s="1">
        <v>2</v>
      </c>
      <c r="K75" s="2">
        <v>19016.93</v>
      </c>
      <c r="L75" s="1">
        <v>0</v>
      </c>
      <c r="M75" s="1">
        <v>2.7E-2</v>
      </c>
      <c r="N75" s="1">
        <v>6</v>
      </c>
      <c r="O75" s="3" t="s">
        <v>21</v>
      </c>
    </row>
    <row r="76" spans="1:15" x14ac:dyDescent="0.3">
      <c r="A76" s="1" t="s">
        <v>179</v>
      </c>
      <c r="B76" s="1" t="s">
        <v>180</v>
      </c>
      <c r="C76" s="2">
        <v>35357.519999999997</v>
      </c>
      <c r="D76" s="1" t="s">
        <v>51</v>
      </c>
      <c r="E76" s="1" t="s">
        <v>29</v>
      </c>
      <c r="F76" s="1" t="s">
        <v>19</v>
      </c>
      <c r="G76" s="1" t="s">
        <v>36</v>
      </c>
      <c r="H76" s="1">
        <v>1913</v>
      </c>
      <c r="I76" s="1">
        <v>6</v>
      </c>
      <c r="J76" s="1">
        <v>2</v>
      </c>
      <c r="K76" s="2">
        <v>14151.55</v>
      </c>
      <c r="L76" s="1">
        <v>1</v>
      </c>
      <c r="M76" s="1">
        <v>0.25600000000000001</v>
      </c>
      <c r="N76" s="1">
        <v>7</v>
      </c>
      <c r="O76" s="3" t="s">
        <v>21</v>
      </c>
    </row>
    <row r="77" spans="1:15" x14ac:dyDescent="0.3">
      <c r="A77" s="1" t="s">
        <v>181</v>
      </c>
      <c r="B77" s="1" t="s">
        <v>182</v>
      </c>
      <c r="C77" s="2">
        <v>36463.910000000003</v>
      </c>
      <c r="D77" s="1" t="s">
        <v>51</v>
      </c>
      <c r="E77" s="1" t="s">
        <v>39</v>
      </c>
      <c r="F77" s="1" t="s">
        <v>26</v>
      </c>
      <c r="G77" s="1" t="s">
        <v>20</v>
      </c>
      <c r="H77" s="1">
        <v>1374</v>
      </c>
      <c r="I77" s="1">
        <v>2</v>
      </c>
      <c r="J77" s="1">
        <v>4</v>
      </c>
      <c r="K77" s="2">
        <v>9392.39</v>
      </c>
      <c r="L77" s="1">
        <v>0</v>
      </c>
      <c r="M77" s="1">
        <v>0.42299999999999999</v>
      </c>
      <c r="N77" s="1">
        <v>2</v>
      </c>
      <c r="O77" s="3" t="s">
        <v>21</v>
      </c>
    </row>
    <row r="78" spans="1:15" x14ac:dyDescent="0.3">
      <c r="A78" s="1" t="s">
        <v>183</v>
      </c>
      <c r="B78" s="1" t="s">
        <v>184</v>
      </c>
      <c r="C78" s="2">
        <v>38574.949999999997</v>
      </c>
      <c r="D78" s="1" t="s">
        <v>17</v>
      </c>
      <c r="E78" s="1" t="s">
        <v>29</v>
      </c>
      <c r="F78" s="1" t="s">
        <v>26</v>
      </c>
      <c r="G78" s="1" t="s">
        <v>36</v>
      </c>
      <c r="H78" s="1">
        <v>254</v>
      </c>
      <c r="I78" s="1">
        <v>15</v>
      </c>
      <c r="J78" s="1">
        <v>3</v>
      </c>
      <c r="K78" s="2">
        <v>12213.74</v>
      </c>
      <c r="L78" s="1">
        <v>0</v>
      </c>
      <c r="M78" s="1">
        <v>0.71699999999999997</v>
      </c>
      <c r="N78" s="1">
        <v>1</v>
      </c>
      <c r="O78" s="3" t="s">
        <v>21</v>
      </c>
    </row>
    <row r="79" spans="1:15" x14ac:dyDescent="0.3">
      <c r="A79" s="1" t="s">
        <v>185</v>
      </c>
      <c r="B79" s="1" t="s">
        <v>186</v>
      </c>
      <c r="C79" s="2">
        <v>3748.53</v>
      </c>
      <c r="D79" s="1" t="s">
        <v>17</v>
      </c>
      <c r="E79" s="1" t="s">
        <v>29</v>
      </c>
      <c r="F79" s="1" t="s">
        <v>30</v>
      </c>
      <c r="G79" s="1" t="s">
        <v>20</v>
      </c>
      <c r="H79" s="1">
        <v>775</v>
      </c>
      <c r="I79" s="1">
        <v>15</v>
      </c>
      <c r="J79" s="1">
        <v>3</v>
      </c>
      <c r="K79" s="2">
        <v>23494.46</v>
      </c>
      <c r="L79" s="1">
        <v>1</v>
      </c>
      <c r="M79" s="1">
        <v>0.27500000000000002</v>
      </c>
      <c r="N79" s="1">
        <v>5</v>
      </c>
      <c r="O79" s="3" t="s">
        <v>21</v>
      </c>
    </row>
    <row r="80" spans="1:15" x14ac:dyDescent="0.3">
      <c r="A80" s="1" t="s">
        <v>187</v>
      </c>
      <c r="B80" s="1" t="s">
        <v>188</v>
      </c>
      <c r="C80" s="2">
        <v>17955.36</v>
      </c>
      <c r="D80" s="1" t="s">
        <v>24</v>
      </c>
      <c r="E80" s="1" t="s">
        <v>29</v>
      </c>
      <c r="F80" s="1" t="s">
        <v>26</v>
      </c>
      <c r="G80" s="1" t="s">
        <v>46</v>
      </c>
      <c r="H80" s="1">
        <v>885</v>
      </c>
      <c r="I80" s="1">
        <v>11</v>
      </c>
      <c r="J80" s="1">
        <v>2</v>
      </c>
      <c r="K80" s="2">
        <v>4269.05</v>
      </c>
      <c r="L80" s="1">
        <v>0</v>
      </c>
      <c r="M80" s="1">
        <v>0.57999999999999996</v>
      </c>
      <c r="N80" s="1">
        <v>2</v>
      </c>
      <c r="O80" s="3" t="s">
        <v>21</v>
      </c>
    </row>
    <row r="81" spans="1:15" x14ac:dyDescent="0.3">
      <c r="A81" s="1" t="s">
        <v>189</v>
      </c>
      <c r="B81" s="1" t="s">
        <v>190</v>
      </c>
      <c r="C81" s="2">
        <v>5837.66</v>
      </c>
      <c r="D81" s="1" t="s">
        <v>51</v>
      </c>
      <c r="E81" s="1" t="s">
        <v>18</v>
      </c>
      <c r="F81" s="1" t="s">
        <v>30</v>
      </c>
      <c r="G81" s="1" t="s">
        <v>56</v>
      </c>
      <c r="H81" s="1">
        <v>921</v>
      </c>
      <c r="I81" s="1">
        <v>8</v>
      </c>
      <c r="J81" s="1">
        <v>0</v>
      </c>
      <c r="K81" s="2">
        <v>7655.29</v>
      </c>
      <c r="L81" s="1">
        <v>0</v>
      </c>
      <c r="M81" s="1">
        <v>0.73199999999999998</v>
      </c>
      <c r="N81" s="1">
        <v>9</v>
      </c>
      <c r="O81" s="3" t="s">
        <v>21</v>
      </c>
    </row>
    <row r="82" spans="1:15" x14ac:dyDescent="0.3">
      <c r="A82" s="1" t="s">
        <v>191</v>
      </c>
      <c r="B82" s="1" t="s">
        <v>192</v>
      </c>
      <c r="C82" s="2">
        <v>43162.02</v>
      </c>
      <c r="D82" s="1" t="s">
        <v>24</v>
      </c>
      <c r="E82" s="1" t="s">
        <v>18</v>
      </c>
      <c r="F82" s="1" t="s">
        <v>26</v>
      </c>
      <c r="G82" s="1" t="s">
        <v>46</v>
      </c>
      <c r="H82" s="1">
        <v>1038</v>
      </c>
      <c r="I82" s="1">
        <v>13</v>
      </c>
      <c r="J82" s="1">
        <v>0</v>
      </c>
      <c r="K82" s="2">
        <v>3799.45</v>
      </c>
      <c r="L82" s="1">
        <v>0</v>
      </c>
      <c r="M82" s="1">
        <v>0.69899999999999995</v>
      </c>
      <c r="N82" s="1">
        <v>3</v>
      </c>
      <c r="O82" s="3" t="s">
        <v>21</v>
      </c>
    </row>
    <row r="83" spans="1:15" x14ac:dyDescent="0.3">
      <c r="A83" s="1" t="s">
        <v>193</v>
      </c>
      <c r="B83" s="1" t="s">
        <v>194</v>
      </c>
      <c r="C83" s="2">
        <v>31183.74</v>
      </c>
      <c r="D83" s="1" t="s">
        <v>24</v>
      </c>
      <c r="E83" s="1" t="s">
        <v>25</v>
      </c>
      <c r="F83" s="1" t="s">
        <v>19</v>
      </c>
      <c r="G83" s="1" t="s">
        <v>20</v>
      </c>
      <c r="H83" s="1">
        <v>929</v>
      </c>
      <c r="I83" s="1">
        <v>11</v>
      </c>
      <c r="J83" s="1">
        <v>3</v>
      </c>
      <c r="K83" s="2">
        <v>12856.97</v>
      </c>
      <c r="L83" s="1">
        <v>0</v>
      </c>
      <c r="M83" s="1">
        <v>0.59</v>
      </c>
      <c r="N83" s="1">
        <v>2</v>
      </c>
      <c r="O83" s="3" t="s">
        <v>21</v>
      </c>
    </row>
    <row r="84" spans="1:15" x14ac:dyDescent="0.3">
      <c r="A84" s="1" t="s">
        <v>195</v>
      </c>
      <c r="B84" s="1" t="s">
        <v>196</v>
      </c>
      <c r="C84" s="2">
        <v>16578.36</v>
      </c>
      <c r="D84" s="1" t="s">
        <v>24</v>
      </c>
      <c r="E84" s="1" t="s">
        <v>29</v>
      </c>
      <c r="F84" s="1" t="s">
        <v>30</v>
      </c>
      <c r="G84" s="1" t="s">
        <v>31</v>
      </c>
      <c r="H84" s="1">
        <v>948</v>
      </c>
      <c r="I84" s="1">
        <v>15</v>
      </c>
      <c r="J84" s="1">
        <v>1</v>
      </c>
      <c r="K84" s="2">
        <v>11677.96</v>
      </c>
      <c r="L84" s="1">
        <v>0</v>
      </c>
      <c r="M84" s="1">
        <v>0.57999999999999996</v>
      </c>
      <c r="N84" s="1">
        <v>7</v>
      </c>
      <c r="O84" s="3" t="s">
        <v>21</v>
      </c>
    </row>
    <row r="85" spans="1:15" x14ac:dyDescent="0.3">
      <c r="A85" s="1" t="s">
        <v>197</v>
      </c>
      <c r="B85" s="1" t="s">
        <v>198</v>
      </c>
      <c r="C85" s="2">
        <v>3224.74</v>
      </c>
      <c r="D85" s="1" t="s">
        <v>24</v>
      </c>
      <c r="E85" s="1" t="s">
        <v>29</v>
      </c>
      <c r="F85" s="1" t="s">
        <v>26</v>
      </c>
      <c r="G85" s="1" t="s">
        <v>56</v>
      </c>
      <c r="H85" s="1">
        <v>458</v>
      </c>
      <c r="I85" s="1">
        <v>16</v>
      </c>
      <c r="J85" s="1">
        <v>4</v>
      </c>
      <c r="K85" s="2">
        <v>19498.669999999998</v>
      </c>
      <c r="L85" s="1">
        <v>0</v>
      </c>
      <c r="M85" s="1">
        <v>0.72099999999999997</v>
      </c>
      <c r="N85" s="1">
        <v>6</v>
      </c>
      <c r="O85" s="3" t="s">
        <v>21</v>
      </c>
    </row>
    <row r="86" spans="1:15" x14ac:dyDescent="0.3">
      <c r="A86" s="1" t="s">
        <v>199</v>
      </c>
      <c r="B86" s="1" t="s">
        <v>200</v>
      </c>
      <c r="C86" s="2">
        <v>15583.57</v>
      </c>
      <c r="D86" s="1" t="s">
        <v>51</v>
      </c>
      <c r="E86" s="1" t="s">
        <v>29</v>
      </c>
      <c r="F86" s="1" t="s">
        <v>30</v>
      </c>
      <c r="G86" s="1" t="s">
        <v>36</v>
      </c>
      <c r="H86" s="1">
        <v>275</v>
      </c>
      <c r="I86" s="1">
        <v>11</v>
      </c>
      <c r="J86" s="1">
        <v>2</v>
      </c>
      <c r="K86" s="2">
        <v>29871.91</v>
      </c>
      <c r="L86" s="1">
        <v>0</v>
      </c>
      <c r="M86" s="1">
        <v>0.33600000000000002</v>
      </c>
      <c r="N86" s="1">
        <v>8</v>
      </c>
      <c r="O86" s="3" t="s">
        <v>21</v>
      </c>
    </row>
    <row r="87" spans="1:15" x14ac:dyDescent="0.3">
      <c r="A87" s="1" t="s">
        <v>201</v>
      </c>
      <c r="B87" s="1" t="s">
        <v>202</v>
      </c>
      <c r="C87" s="2">
        <v>16292.91</v>
      </c>
      <c r="D87" s="1" t="s">
        <v>24</v>
      </c>
      <c r="E87" s="1" t="s">
        <v>18</v>
      </c>
      <c r="F87" s="1" t="s">
        <v>30</v>
      </c>
      <c r="G87" s="1" t="s">
        <v>20</v>
      </c>
      <c r="H87" s="1">
        <v>1524</v>
      </c>
      <c r="I87" s="1">
        <v>3</v>
      </c>
      <c r="J87" s="1">
        <v>4</v>
      </c>
      <c r="K87" s="2">
        <v>26781.54</v>
      </c>
      <c r="L87" s="1">
        <v>0</v>
      </c>
      <c r="M87" s="1">
        <v>0.45</v>
      </c>
      <c r="N87" s="1">
        <v>9</v>
      </c>
      <c r="O87" s="3" t="s">
        <v>21</v>
      </c>
    </row>
    <row r="88" spans="1:15" x14ac:dyDescent="0.3">
      <c r="A88" s="1" t="s">
        <v>203</v>
      </c>
      <c r="B88" s="1" t="s">
        <v>204</v>
      </c>
      <c r="C88" s="2">
        <v>36493.83</v>
      </c>
      <c r="D88" s="1" t="s">
        <v>17</v>
      </c>
      <c r="E88" s="1" t="s">
        <v>25</v>
      </c>
      <c r="F88" s="1" t="s">
        <v>30</v>
      </c>
      <c r="G88" s="1" t="s">
        <v>46</v>
      </c>
      <c r="H88" s="1">
        <v>1272</v>
      </c>
      <c r="I88" s="1">
        <v>16</v>
      </c>
      <c r="J88" s="1">
        <v>2</v>
      </c>
      <c r="K88" s="2">
        <v>26423.29</v>
      </c>
      <c r="L88" s="1">
        <v>0</v>
      </c>
      <c r="M88" s="1">
        <v>0.96599999999999997</v>
      </c>
      <c r="N88" s="1">
        <v>3</v>
      </c>
      <c r="O88" s="3" t="s">
        <v>21</v>
      </c>
    </row>
    <row r="89" spans="1:15" x14ac:dyDescent="0.3">
      <c r="A89" s="1" t="s">
        <v>205</v>
      </c>
      <c r="B89" s="1" t="s">
        <v>206</v>
      </c>
      <c r="C89" s="2">
        <v>31896</v>
      </c>
      <c r="D89" s="1" t="s">
        <v>17</v>
      </c>
      <c r="E89" s="1" t="s">
        <v>18</v>
      </c>
      <c r="F89" s="1" t="s">
        <v>19</v>
      </c>
      <c r="G89" s="1" t="s">
        <v>31</v>
      </c>
      <c r="H89" s="1">
        <v>259</v>
      </c>
      <c r="I89" s="1">
        <v>0</v>
      </c>
      <c r="J89" s="1">
        <v>2</v>
      </c>
      <c r="K89" s="2">
        <v>19406.669999999998</v>
      </c>
      <c r="L89" s="1">
        <v>0</v>
      </c>
      <c r="M89" s="1">
        <v>0.66900000000000004</v>
      </c>
      <c r="N89" s="1">
        <v>8</v>
      </c>
      <c r="O89" s="3" t="s">
        <v>21</v>
      </c>
    </row>
    <row r="90" spans="1:15" x14ac:dyDescent="0.3">
      <c r="A90" s="1" t="s">
        <v>207</v>
      </c>
      <c r="B90" s="1" t="s">
        <v>208</v>
      </c>
      <c r="C90" s="2">
        <v>44366.28</v>
      </c>
      <c r="D90" s="1" t="s">
        <v>17</v>
      </c>
      <c r="E90" s="1" t="s">
        <v>39</v>
      </c>
      <c r="F90" s="1" t="s">
        <v>26</v>
      </c>
      <c r="G90" s="1" t="s">
        <v>20</v>
      </c>
      <c r="H90" s="1">
        <v>964</v>
      </c>
      <c r="I90" s="1">
        <v>20</v>
      </c>
      <c r="J90" s="1">
        <v>3</v>
      </c>
      <c r="K90" s="2">
        <v>8191.19</v>
      </c>
      <c r="L90" s="1">
        <v>0</v>
      </c>
      <c r="M90" s="1">
        <v>0.52</v>
      </c>
      <c r="N90" s="1">
        <v>4</v>
      </c>
      <c r="O90" s="3" t="s">
        <v>21</v>
      </c>
    </row>
    <row r="91" spans="1:15" x14ac:dyDescent="0.3">
      <c r="A91" s="1" t="s">
        <v>209</v>
      </c>
      <c r="B91" s="1" t="s">
        <v>210</v>
      </c>
      <c r="C91" s="2">
        <v>23637.14</v>
      </c>
      <c r="D91" s="1" t="s">
        <v>51</v>
      </c>
      <c r="E91" s="1" t="s">
        <v>39</v>
      </c>
      <c r="F91" s="1" t="s">
        <v>26</v>
      </c>
      <c r="G91" s="1" t="s">
        <v>36</v>
      </c>
      <c r="H91" s="1">
        <v>1324</v>
      </c>
      <c r="I91" s="1">
        <v>16</v>
      </c>
      <c r="J91" s="1">
        <v>4</v>
      </c>
      <c r="K91" s="2">
        <v>11584.16</v>
      </c>
      <c r="L91" s="1">
        <v>0</v>
      </c>
      <c r="M91" s="1">
        <v>0.57799999999999996</v>
      </c>
      <c r="N91" s="1">
        <v>2</v>
      </c>
      <c r="O91" s="3" t="s">
        <v>21</v>
      </c>
    </row>
    <row r="92" spans="1:15" x14ac:dyDescent="0.3">
      <c r="A92" s="1" t="s">
        <v>211</v>
      </c>
      <c r="B92" s="1" t="s">
        <v>212</v>
      </c>
      <c r="C92" s="2">
        <v>6023.73</v>
      </c>
      <c r="D92" s="1" t="s">
        <v>24</v>
      </c>
      <c r="E92" s="1" t="s">
        <v>39</v>
      </c>
      <c r="F92" s="1" t="s">
        <v>30</v>
      </c>
      <c r="G92" s="1" t="s">
        <v>46</v>
      </c>
      <c r="H92" s="1">
        <v>552</v>
      </c>
      <c r="I92" s="1">
        <v>10</v>
      </c>
      <c r="J92" s="1">
        <v>4</v>
      </c>
      <c r="K92" s="2">
        <v>7578.65</v>
      </c>
      <c r="L92" s="1">
        <v>0</v>
      </c>
      <c r="M92" s="1">
        <v>0.104</v>
      </c>
      <c r="N92" s="1">
        <v>4</v>
      </c>
      <c r="O92" s="3" t="s">
        <v>21</v>
      </c>
    </row>
    <row r="93" spans="1:15" x14ac:dyDescent="0.3">
      <c r="A93" s="1" t="s">
        <v>213</v>
      </c>
      <c r="B93" s="1" t="s">
        <v>214</v>
      </c>
      <c r="C93" s="2">
        <v>35676.58</v>
      </c>
      <c r="D93" s="1" t="s">
        <v>51</v>
      </c>
      <c r="E93" s="1" t="s">
        <v>25</v>
      </c>
      <c r="F93" s="1" t="s">
        <v>26</v>
      </c>
      <c r="G93" s="1" t="s">
        <v>56</v>
      </c>
      <c r="H93" s="1">
        <v>641</v>
      </c>
      <c r="I93" s="1">
        <v>18</v>
      </c>
      <c r="J93" s="1">
        <v>1</v>
      </c>
      <c r="K93" s="2">
        <v>4139.01</v>
      </c>
      <c r="L93" s="1">
        <v>0</v>
      </c>
      <c r="M93" s="1">
        <v>0.59199999999999997</v>
      </c>
      <c r="N93" s="1">
        <v>4</v>
      </c>
      <c r="O93" s="3" t="s">
        <v>21</v>
      </c>
    </row>
    <row r="94" spans="1:15" x14ac:dyDescent="0.3">
      <c r="A94" s="1" t="s">
        <v>215</v>
      </c>
      <c r="B94" s="1" t="s">
        <v>216</v>
      </c>
      <c r="C94" s="2">
        <v>38051.21</v>
      </c>
      <c r="D94" s="1" t="s">
        <v>24</v>
      </c>
      <c r="E94" s="1" t="s">
        <v>39</v>
      </c>
      <c r="F94" s="1" t="s">
        <v>19</v>
      </c>
      <c r="G94" s="1" t="s">
        <v>31</v>
      </c>
      <c r="H94" s="1">
        <v>1112</v>
      </c>
      <c r="I94" s="1">
        <v>22</v>
      </c>
      <c r="J94" s="1">
        <v>1</v>
      </c>
      <c r="K94" s="2">
        <v>13137.33</v>
      </c>
      <c r="L94" s="1">
        <v>0</v>
      </c>
      <c r="M94" s="1">
        <v>0.83599999999999997</v>
      </c>
      <c r="N94" s="1">
        <v>8</v>
      </c>
      <c r="O94" s="3" t="s">
        <v>21</v>
      </c>
    </row>
    <row r="95" spans="1:15" x14ac:dyDescent="0.3">
      <c r="A95" s="1" t="s">
        <v>217</v>
      </c>
      <c r="B95" s="1" t="s">
        <v>218</v>
      </c>
      <c r="C95" s="2">
        <v>28085.8</v>
      </c>
      <c r="D95" s="1" t="s">
        <v>51</v>
      </c>
      <c r="E95" s="1" t="s">
        <v>25</v>
      </c>
      <c r="F95" s="1" t="s">
        <v>30</v>
      </c>
      <c r="G95" s="1" t="s">
        <v>20</v>
      </c>
      <c r="H95" s="1">
        <v>916</v>
      </c>
      <c r="I95" s="1">
        <v>17</v>
      </c>
      <c r="J95" s="1">
        <v>4</v>
      </c>
      <c r="K95" s="2">
        <v>26936.3</v>
      </c>
      <c r="L95" s="1">
        <v>0</v>
      </c>
      <c r="M95" s="1">
        <v>0.52400000000000002</v>
      </c>
      <c r="N95" s="1">
        <v>8</v>
      </c>
      <c r="O95" s="3" t="s">
        <v>21</v>
      </c>
    </row>
    <row r="96" spans="1:15" x14ac:dyDescent="0.3">
      <c r="A96" s="1" t="s">
        <v>219</v>
      </c>
      <c r="B96" s="1" t="s">
        <v>220</v>
      </c>
      <c r="C96" s="2">
        <v>38559.81</v>
      </c>
      <c r="D96" s="1" t="s">
        <v>51</v>
      </c>
      <c r="E96" s="1" t="s">
        <v>18</v>
      </c>
      <c r="F96" s="1" t="s">
        <v>19</v>
      </c>
      <c r="G96" s="1" t="s">
        <v>20</v>
      </c>
      <c r="H96" s="1">
        <v>530</v>
      </c>
      <c r="I96" s="1">
        <v>19</v>
      </c>
      <c r="J96" s="1">
        <v>1</v>
      </c>
      <c r="K96" s="2">
        <v>22340.85</v>
      </c>
      <c r="L96" s="1">
        <v>0</v>
      </c>
      <c r="M96" s="1">
        <v>0.17699999999999999</v>
      </c>
      <c r="N96" s="1">
        <v>7</v>
      </c>
      <c r="O96" s="3" t="s">
        <v>21</v>
      </c>
    </row>
    <row r="97" spans="1:15" x14ac:dyDescent="0.3">
      <c r="A97" s="1" t="s">
        <v>221</v>
      </c>
      <c r="B97" s="1" t="s">
        <v>222</v>
      </c>
      <c r="C97" s="2">
        <v>24715.09</v>
      </c>
      <c r="D97" s="1" t="s">
        <v>24</v>
      </c>
      <c r="E97" s="1" t="s">
        <v>18</v>
      </c>
      <c r="F97" s="1" t="s">
        <v>19</v>
      </c>
      <c r="G97" s="1" t="s">
        <v>20</v>
      </c>
      <c r="H97" s="1">
        <v>1483</v>
      </c>
      <c r="I97" s="1">
        <v>1</v>
      </c>
      <c r="J97" s="1">
        <v>1</v>
      </c>
      <c r="K97" s="2">
        <v>29546.65</v>
      </c>
      <c r="L97" s="1">
        <v>0</v>
      </c>
      <c r="M97" s="1">
        <v>0.44800000000000001</v>
      </c>
      <c r="N97" s="1">
        <v>4</v>
      </c>
      <c r="O97" s="3" t="s">
        <v>21</v>
      </c>
    </row>
    <row r="98" spans="1:15" x14ac:dyDescent="0.3">
      <c r="A98" s="1" t="s">
        <v>223</v>
      </c>
      <c r="B98" s="1" t="s">
        <v>224</v>
      </c>
      <c r="C98" s="2">
        <v>26160.5</v>
      </c>
      <c r="D98" s="1" t="s">
        <v>51</v>
      </c>
      <c r="E98" s="1" t="s">
        <v>25</v>
      </c>
      <c r="F98" s="1" t="s">
        <v>26</v>
      </c>
      <c r="G98" s="1" t="s">
        <v>20</v>
      </c>
      <c r="H98" s="1">
        <v>1589</v>
      </c>
      <c r="I98" s="1">
        <v>8</v>
      </c>
      <c r="J98" s="1">
        <v>2</v>
      </c>
      <c r="K98" s="2">
        <v>5925.03</v>
      </c>
      <c r="L98" s="1">
        <v>0</v>
      </c>
      <c r="M98" s="1">
        <v>0.27800000000000002</v>
      </c>
      <c r="N98" s="1">
        <v>2</v>
      </c>
      <c r="O98" s="3" t="s">
        <v>21</v>
      </c>
    </row>
    <row r="99" spans="1:15" x14ac:dyDescent="0.3">
      <c r="A99" s="1" t="s">
        <v>225</v>
      </c>
      <c r="B99" s="1" t="s">
        <v>84</v>
      </c>
      <c r="C99" s="2">
        <v>21405.67</v>
      </c>
      <c r="D99" s="1" t="s">
        <v>24</v>
      </c>
      <c r="E99" s="1" t="s">
        <v>18</v>
      </c>
      <c r="F99" s="1" t="s">
        <v>26</v>
      </c>
      <c r="G99" s="1" t="s">
        <v>46</v>
      </c>
      <c r="H99" s="1">
        <v>893</v>
      </c>
      <c r="I99" s="1">
        <v>8</v>
      </c>
      <c r="J99" s="1">
        <v>3</v>
      </c>
      <c r="K99" s="2">
        <v>15066.27</v>
      </c>
      <c r="L99" s="1">
        <v>0</v>
      </c>
      <c r="M99" s="1">
        <v>0.36</v>
      </c>
      <c r="N99" s="1">
        <v>1</v>
      </c>
      <c r="O99" s="3" t="s">
        <v>21</v>
      </c>
    </row>
    <row r="100" spans="1:15" x14ac:dyDescent="0.3">
      <c r="A100" s="1" t="s">
        <v>226</v>
      </c>
      <c r="B100" s="1" t="s">
        <v>227</v>
      </c>
      <c r="C100" s="2">
        <v>1319.69</v>
      </c>
      <c r="D100" s="1" t="s">
        <v>17</v>
      </c>
      <c r="E100" s="1" t="s">
        <v>18</v>
      </c>
      <c r="F100" s="1" t="s">
        <v>30</v>
      </c>
      <c r="G100" s="1" t="s">
        <v>56</v>
      </c>
      <c r="H100" s="1">
        <v>743</v>
      </c>
      <c r="I100" s="1">
        <v>11</v>
      </c>
      <c r="J100" s="1">
        <v>2</v>
      </c>
      <c r="K100" s="2">
        <v>23812.080000000002</v>
      </c>
      <c r="L100" s="1">
        <v>0</v>
      </c>
      <c r="M100" s="1">
        <v>0.22500000000000001</v>
      </c>
      <c r="N100" s="1">
        <v>2</v>
      </c>
      <c r="O100" s="3" t="s">
        <v>21</v>
      </c>
    </row>
    <row r="101" spans="1:15" x14ac:dyDescent="0.3">
      <c r="A101" s="1" t="s">
        <v>228</v>
      </c>
      <c r="B101" s="1" t="s">
        <v>229</v>
      </c>
      <c r="C101" s="2">
        <v>5439.18</v>
      </c>
      <c r="D101" s="1" t="s">
        <v>17</v>
      </c>
      <c r="E101" s="1" t="s">
        <v>25</v>
      </c>
      <c r="F101" s="1" t="s">
        <v>19</v>
      </c>
      <c r="G101" s="1" t="s">
        <v>36</v>
      </c>
      <c r="H101" s="1">
        <v>153</v>
      </c>
      <c r="I101" s="1">
        <v>12</v>
      </c>
      <c r="J101" s="1">
        <v>1</v>
      </c>
      <c r="K101" s="2">
        <v>13867.79</v>
      </c>
      <c r="L101" s="1">
        <v>0</v>
      </c>
      <c r="M101" s="1">
        <v>0.33400000000000002</v>
      </c>
      <c r="N101" s="1">
        <v>2</v>
      </c>
      <c r="O101" s="3" t="s">
        <v>21</v>
      </c>
    </row>
    <row r="102" spans="1:15" x14ac:dyDescent="0.3">
      <c r="A102" s="1" t="s">
        <v>230</v>
      </c>
      <c r="B102" s="1" t="s">
        <v>231</v>
      </c>
      <c r="C102" s="2">
        <v>1619.89</v>
      </c>
      <c r="D102" s="1" t="s">
        <v>17</v>
      </c>
      <c r="E102" s="1" t="s">
        <v>39</v>
      </c>
      <c r="F102" s="1" t="s">
        <v>26</v>
      </c>
      <c r="G102" s="1" t="s">
        <v>31</v>
      </c>
      <c r="H102" s="1">
        <v>1153</v>
      </c>
      <c r="I102" s="1">
        <v>15</v>
      </c>
      <c r="J102" s="1">
        <v>2</v>
      </c>
      <c r="K102" s="2">
        <v>10716.13</v>
      </c>
      <c r="L102" s="1">
        <v>0</v>
      </c>
      <c r="M102" s="1">
        <v>0.82199999999999995</v>
      </c>
      <c r="N102" s="1">
        <v>3</v>
      </c>
      <c r="O102" s="3" t="s">
        <v>21</v>
      </c>
    </row>
    <row r="103" spans="1:15" x14ac:dyDescent="0.3">
      <c r="A103" s="1" t="s">
        <v>232</v>
      </c>
      <c r="B103" s="1" t="s">
        <v>233</v>
      </c>
      <c r="C103" s="2">
        <v>31838.7</v>
      </c>
      <c r="D103" s="1" t="s">
        <v>51</v>
      </c>
      <c r="E103" s="1" t="s">
        <v>25</v>
      </c>
      <c r="F103" s="1" t="s">
        <v>30</v>
      </c>
      <c r="G103" s="1" t="s">
        <v>20</v>
      </c>
      <c r="H103" s="1">
        <v>953</v>
      </c>
      <c r="I103" s="1">
        <v>12</v>
      </c>
      <c r="J103" s="1">
        <v>2</v>
      </c>
      <c r="K103" s="2">
        <v>24495.02</v>
      </c>
      <c r="L103" s="1">
        <v>1</v>
      </c>
      <c r="M103" s="1">
        <v>0.75800000000000001</v>
      </c>
      <c r="N103" s="1">
        <v>5</v>
      </c>
      <c r="O103" s="3" t="s">
        <v>21</v>
      </c>
    </row>
    <row r="104" spans="1:15" x14ac:dyDescent="0.3">
      <c r="A104" s="1" t="s">
        <v>234</v>
      </c>
      <c r="B104" s="1" t="s">
        <v>235</v>
      </c>
      <c r="C104" s="2">
        <v>15752.08</v>
      </c>
      <c r="D104" s="1" t="s">
        <v>17</v>
      </c>
      <c r="E104" s="1" t="s">
        <v>29</v>
      </c>
      <c r="F104" s="1" t="s">
        <v>30</v>
      </c>
      <c r="G104" s="1" t="s">
        <v>20</v>
      </c>
      <c r="H104" s="1">
        <v>574</v>
      </c>
      <c r="I104" s="1">
        <v>22</v>
      </c>
      <c r="J104" s="1">
        <v>0</v>
      </c>
      <c r="K104" s="2">
        <v>12966.21</v>
      </c>
      <c r="L104" s="1">
        <v>0</v>
      </c>
      <c r="M104" s="1">
        <v>0.49099999999999999</v>
      </c>
      <c r="N104" s="1">
        <v>1</v>
      </c>
      <c r="O104" s="3" t="s">
        <v>21</v>
      </c>
    </row>
    <row r="105" spans="1:15" x14ac:dyDescent="0.3">
      <c r="A105" s="1" t="s">
        <v>236</v>
      </c>
      <c r="B105" s="1" t="s">
        <v>237</v>
      </c>
      <c r="C105" s="2">
        <v>25453.11</v>
      </c>
      <c r="D105" s="1" t="s">
        <v>24</v>
      </c>
      <c r="E105" s="1" t="s">
        <v>18</v>
      </c>
      <c r="F105" s="1" t="s">
        <v>26</v>
      </c>
      <c r="G105" s="1" t="s">
        <v>56</v>
      </c>
      <c r="H105" s="1">
        <v>1610</v>
      </c>
      <c r="I105" s="1">
        <v>13</v>
      </c>
      <c r="J105" s="1">
        <v>2</v>
      </c>
      <c r="K105" s="2">
        <v>27397.73</v>
      </c>
      <c r="L105" s="1">
        <v>0</v>
      </c>
      <c r="M105" s="1">
        <v>0.78300000000000003</v>
      </c>
      <c r="N105" s="1">
        <v>5</v>
      </c>
      <c r="O105" s="4" t="s">
        <v>1936</v>
      </c>
    </row>
    <row r="106" spans="1:15" x14ac:dyDescent="0.3">
      <c r="A106" s="1" t="s">
        <v>238</v>
      </c>
      <c r="B106" s="1" t="s">
        <v>239</v>
      </c>
      <c r="C106" s="2">
        <v>45382.95</v>
      </c>
      <c r="D106" s="1" t="s">
        <v>17</v>
      </c>
      <c r="E106" s="1" t="s">
        <v>25</v>
      </c>
      <c r="F106" s="1" t="s">
        <v>19</v>
      </c>
      <c r="G106" s="1" t="s">
        <v>56</v>
      </c>
      <c r="H106" s="1">
        <v>1209</v>
      </c>
      <c r="I106" s="1">
        <v>6</v>
      </c>
      <c r="J106" s="1">
        <v>2</v>
      </c>
      <c r="K106" s="2">
        <v>8125.2</v>
      </c>
      <c r="L106" s="1">
        <v>0</v>
      </c>
      <c r="M106" s="1">
        <v>0.97599999999999998</v>
      </c>
      <c r="N106" s="1">
        <v>7</v>
      </c>
      <c r="O106" s="3" t="s">
        <v>21</v>
      </c>
    </row>
    <row r="107" spans="1:15" x14ac:dyDescent="0.3">
      <c r="A107" s="1" t="s">
        <v>240</v>
      </c>
      <c r="B107" s="1" t="s">
        <v>241</v>
      </c>
      <c r="C107" s="2">
        <v>12502.15</v>
      </c>
      <c r="D107" s="1" t="s">
        <v>17</v>
      </c>
      <c r="E107" s="1" t="s">
        <v>18</v>
      </c>
      <c r="F107" s="1" t="s">
        <v>30</v>
      </c>
      <c r="G107" s="1" t="s">
        <v>46</v>
      </c>
      <c r="H107" s="1">
        <v>79</v>
      </c>
      <c r="I107" s="1">
        <v>1</v>
      </c>
      <c r="J107" s="1">
        <v>3</v>
      </c>
      <c r="K107" s="2">
        <v>26903.97</v>
      </c>
      <c r="L107" s="1">
        <v>0</v>
      </c>
      <c r="M107" s="1">
        <v>0.40600000000000003</v>
      </c>
      <c r="N107" s="1">
        <v>1</v>
      </c>
      <c r="O107" s="3" t="s">
        <v>21</v>
      </c>
    </row>
    <row r="108" spans="1:15" x14ac:dyDescent="0.3">
      <c r="A108" s="1" t="s">
        <v>242</v>
      </c>
      <c r="B108" s="1" t="s">
        <v>243</v>
      </c>
      <c r="C108" s="2">
        <v>20548.63</v>
      </c>
      <c r="D108" s="1" t="s">
        <v>51</v>
      </c>
      <c r="E108" s="1" t="s">
        <v>39</v>
      </c>
      <c r="F108" s="1" t="s">
        <v>26</v>
      </c>
      <c r="G108" s="1" t="s">
        <v>46</v>
      </c>
      <c r="H108" s="1">
        <v>1847</v>
      </c>
      <c r="I108" s="1">
        <v>11</v>
      </c>
      <c r="J108" s="1">
        <v>4</v>
      </c>
      <c r="K108" s="2">
        <v>8425.98</v>
      </c>
      <c r="L108" s="1">
        <v>0</v>
      </c>
      <c r="M108" s="1">
        <v>0.98</v>
      </c>
      <c r="N108" s="1">
        <v>4</v>
      </c>
      <c r="O108" s="3" t="s">
        <v>21</v>
      </c>
    </row>
    <row r="109" spans="1:15" x14ac:dyDescent="0.3">
      <c r="A109" s="1" t="s">
        <v>244</v>
      </c>
      <c r="B109" s="1" t="s">
        <v>245</v>
      </c>
      <c r="C109" s="2">
        <v>37789.78</v>
      </c>
      <c r="D109" s="1" t="s">
        <v>24</v>
      </c>
      <c r="E109" s="1" t="s">
        <v>18</v>
      </c>
      <c r="F109" s="1" t="s">
        <v>30</v>
      </c>
      <c r="G109" s="1" t="s">
        <v>46</v>
      </c>
      <c r="H109" s="1">
        <v>642</v>
      </c>
      <c r="I109" s="1">
        <v>23</v>
      </c>
      <c r="J109" s="1">
        <v>0</v>
      </c>
      <c r="K109" s="2">
        <v>8757.9699999999993</v>
      </c>
      <c r="L109" s="1">
        <v>0</v>
      </c>
      <c r="M109" s="1">
        <v>0.246</v>
      </c>
      <c r="N109" s="1">
        <v>2</v>
      </c>
      <c r="O109" s="3" t="s">
        <v>21</v>
      </c>
    </row>
    <row r="110" spans="1:15" x14ac:dyDescent="0.3">
      <c r="A110" s="1" t="s">
        <v>246</v>
      </c>
      <c r="B110" s="1" t="s">
        <v>247</v>
      </c>
      <c r="C110" s="2">
        <v>11478.47</v>
      </c>
      <c r="D110" s="1" t="s">
        <v>51</v>
      </c>
      <c r="E110" s="1" t="s">
        <v>25</v>
      </c>
      <c r="F110" s="1" t="s">
        <v>26</v>
      </c>
      <c r="G110" s="1" t="s">
        <v>31</v>
      </c>
      <c r="H110" s="1">
        <v>898</v>
      </c>
      <c r="I110" s="1">
        <v>16</v>
      </c>
      <c r="J110" s="1">
        <v>0</v>
      </c>
      <c r="K110" s="2">
        <v>12675.47</v>
      </c>
      <c r="L110" s="1">
        <v>0</v>
      </c>
      <c r="M110" s="1">
        <v>0.95499999999999996</v>
      </c>
      <c r="N110" s="1">
        <v>8</v>
      </c>
      <c r="O110" s="3" t="s">
        <v>21</v>
      </c>
    </row>
    <row r="111" spans="1:15" x14ac:dyDescent="0.3">
      <c r="A111" s="1" t="s">
        <v>248</v>
      </c>
      <c r="B111" s="1" t="s">
        <v>249</v>
      </c>
      <c r="C111" s="2">
        <v>3895.15</v>
      </c>
      <c r="D111" s="1" t="s">
        <v>51</v>
      </c>
      <c r="E111" s="1" t="s">
        <v>39</v>
      </c>
      <c r="F111" s="1" t="s">
        <v>30</v>
      </c>
      <c r="G111" s="1" t="s">
        <v>46</v>
      </c>
      <c r="H111" s="1">
        <v>1236</v>
      </c>
      <c r="I111" s="1">
        <v>23</v>
      </c>
      <c r="J111" s="1">
        <v>0</v>
      </c>
      <c r="K111" s="2">
        <v>15522.77</v>
      </c>
      <c r="L111" s="1">
        <v>0</v>
      </c>
      <c r="M111" s="1">
        <v>0.86399999999999999</v>
      </c>
      <c r="N111" s="1">
        <v>2</v>
      </c>
      <c r="O111" s="3" t="s">
        <v>21</v>
      </c>
    </row>
    <row r="112" spans="1:15" x14ac:dyDescent="0.3">
      <c r="A112" s="1" t="s">
        <v>250</v>
      </c>
      <c r="B112" s="1" t="s">
        <v>251</v>
      </c>
      <c r="C112" s="2">
        <v>14523.09</v>
      </c>
      <c r="D112" s="1" t="s">
        <v>24</v>
      </c>
      <c r="E112" s="1" t="s">
        <v>39</v>
      </c>
      <c r="F112" s="1" t="s">
        <v>19</v>
      </c>
      <c r="G112" s="1" t="s">
        <v>20</v>
      </c>
      <c r="H112" s="1">
        <v>810</v>
      </c>
      <c r="I112" s="1">
        <v>4</v>
      </c>
      <c r="J112" s="1">
        <v>0</v>
      </c>
      <c r="K112" s="2">
        <v>12604.93</v>
      </c>
      <c r="L112" s="1">
        <v>0</v>
      </c>
      <c r="M112" s="1">
        <v>0.19900000000000001</v>
      </c>
      <c r="N112" s="1">
        <v>1</v>
      </c>
      <c r="O112" s="3" t="s">
        <v>21</v>
      </c>
    </row>
    <row r="113" spans="1:15" x14ac:dyDescent="0.3">
      <c r="A113" s="1" t="s">
        <v>252</v>
      </c>
      <c r="B113" s="1" t="s">
        <v>253</v>
      </c>
      <c r="C113" s="2">
        <v>8103</v>
      </c>
      <c r="D113" s="1" t="s">
        <v>51</v>
      </c>
      <c r="E113" s="1" t="s">
        <v>39</v>
      </c>
      <c r="F113" s="1" t="s">
        <v>30</v>
      </c>
      <c r="G113" s="1" t="s">
        <v>46</v>
      </c>
      <c r="H113" s="1">
        <v>189</v>
      </c>
      <c r="I113" s="1">
        <v>19</v>
      </c>
      <c r="J113" s="1">
        <v>3</v>
      </c>
      <c r="K113" s="2">
        <v>25878.26</v>
      </c>
      <c r="L113" s="1">
        <v>1</v>
      </c>
      <c r="M113" s="1">
        <v>0.35</v>
      </c>
      <c r="N113" s="1">
        <v>2</v>
      </c>
      <c r="O113" s="3" t="s">
        <v>21</v>
      </c>
    </row>
    <row r="114" spans="1:15" x14ac:dyDescent="0.3">
      <c r="A114" s="1" t="s">
        <v>254</v>
      </c>
      <c r="B114" s="1" t="s">
        <v>255</v>
      </c>
      <c r="C114" s="2">
        <v>46488.4</v>
      </c>
      <c r="D114" s="1" t="s">
        <v>24</v>
      </c>
      <c r="E114" s="1" t="s">
        <v>29</v>
      </c>
      <c r="F114" s="1" t="s">
        <v>26</v>
      </c>
      <c r="G114" s="1" t="s">
        <v>31</v>
      </c>
      <c r="H114" s="1">
        <v>602</v>
      </c>
      <c r="I114" s="1">
        <v>9</v>
      </c>
      <c r="J114" s="1">
        <v>4</v>
      </c>
      <c r="K114" s="2">
        <v>23887.52</v>
      </c>
      <c r="L114" s="1">
        <v>0</v>
      </c>
      <c r="M114" s="1">
        <v>0.70799999999999996</v>
      </c>
      <c r="N114" s="1">
        <v>4</v>
      </c>
      <c r="O114" s="3" t="s">
        <v>21</v>
      </c>
    </row>
    <row r="115" spans="1:15" x14ac:dyDescent="0.3">
      <c r="A115" s="1" t="s">
        <v>256</v>
      </c>
      <c r="B115" s="1" t="s">
        <v>257</v>
      </c>
      <c r="C115" s="2">
        <v>40415.61</v>
      </c>
      <c r="D115" s="1" t="s">
        <v>17</v>
      </c>
      <c r="E115" s="1" t="s">
        <v>25</v>
      </c>
      <c r="F115" s="1" t="s">
        <v>26</v>
      </c>
      <c r="G115" s="1" t="s">
        <v>46</v>
      </c>
      <c r="H115" s="1">
        <v>576</v>
      </c>
      <c r="I115" s="1">
        <v>17</v>
      </c>
      <c r="J115" s="1">
        <v>3</v>
      </c>
      <c r="K115" s="2">
        <v>9364.92</v>
      </c>
      <c r="L115" s="1">
        <v>0</v>
      </c>
      <c r="M115" s="1">
        <v>0.192</v>
      </c>
      <c r="N115" s="1">
        <v>5</v>
      </c>
      <c r="O115" s="3" t="s">
        <v>21</v>
      </c>
    </row>
    <row r="116" spans="1:15" x14ac:dyDescent="0.3">
      <c r="A116" s="1" t="s">
        <v>258</v>
      </c>
      <c r="B116" s="1" t="s">
        <v>259</v>
      </c>
      <c r="C116" s="2">
        <v>31688.52</v>
      </c>
      <c r="D116" s="1" t="s">
        <v>24</v>
      </c>
      <c r="E116" s="1" t="s">
        <v>25</v>
      </c>
      <c r="F116" s="1" t="s">
        <v>26</v>
      </c>
      <c r="G116" s="1" t="s">
        <v>46</v>
      </c>
      <c r="H116" s="1">
        <v>700</v>
      </c>
      <c r="I116" s="1">
        <v>2</v>
      </c>
      <c r="J116" s="1">
        <v>0</v>
      </c>
      <c r="K116" s="2">
        <v>15394.44</v>
      </c>
      <c r="L116" s="1">
        <v>0</v>
      </c>
      <c r="M116" s="1">
        <v>0.59099999999999997</v>
      </c>
      <c r="N116" s="1">
        <v>2</v>
      </c>
      <c r="O116" s="3" t="s">
        <v>21</v>
      </c>
    </row>
    <row r="117" spans="1:15" x14ac:dyDescent="0.3">
      <c r="A117" s="1" t="s">
        <v>260</v>
      </c>
      <c r="B117" s="1" t="s">
        <v>261</v>
      </c>
      <c r="C117" s="2">
        <v>43579.46</v>
      </c>
      <c r="D117" s="1" t="s">
        <v>24</v>
      </c>
      <c r="E117" s="1" t="s">
        <v>39</v>
      </c>
      <c r="F117" s="1" t="s">
        <v>19</v>
      </c>
      <c r="G117" s="1" t="s">
        <v>20</v>
      </c>
      <c r="H117" s="1">
        <v>1643</v>
      </c>
      <c r="I117" s="1">
        <v>12</v>
      </c>
      <c r="J117" s="1">
        <v>4</v>
      </c>
      <c r="K117" s="2">
        <v>12987.79</v>
      </c>
      <c r="L117" s="1">
        <v>0</v>
      </c>
      <c r="M117" s="1">
        <v>0.53500000000000003</v>
      </c>
      <c r="N117" s="1">
        <v>4</v>
      </c>
      <c r="O117" s="3" t="s">
        <v>21</v>
      </c>
    </row>
    <row r="118" spans="1:15" x14ac:dyDescent="0.3">
      <c r="A118" s="1" t="s">
        <v>262</v>
      </c>
      <c r="B118" s="1" t="s">
        <v>263</v>
      </c>
      <c r="C118" s="2">
        <v>40193.42</v>
      </c>
      <c r="D118" s="1" t="s">
        <v>24</v>
      </c>
      <c r="E118" s="1" t="s">
        <v>18</v>
      </c>
      <c r="F118" s="1" t="s">
        <v>26</v>
      </c>
      <c r="G118" s="1" t="s">
        <v>20</v>
      </c>
      <c r="H118" s="1">
        <v>1143</v>
      </c>
      <c r="I118" s="1">
        <v>12</v>
      </c>
      <c r="J118" s="1">
        <v>3</v>
      </c>
      <c r="K118" s="2">
        <v>1776.5</v>
      </c>
      <c r="L118" s="1">
        <v>1</v>
      </c>
      <c r="M118" s="1">
        <v>0.29199999999999998</v>
      </c>
      <c r="N118" s="1">
        <v>7</v>
      </c>
      <c r="O118" s="3" t="s">
        <v>21</v>
      </c>
    </row>
    <row r="119" spans="1:15" x14ac:dyDescent="0.3">
      <c r="A119" s="1" t="s">
        <v>264</v>
      </c>
      <c r="B119" s="1" t="s">
        <v>100</v>
      </c>
      <c r="C119" s="2">
        <v>9369.17</v>
      </c>
      <c r="D119" s="1" t="s">
        <v>51</v>
      </c>
      <c r="E119" s="1" t="s">
        <v>39</v>
      </c>
      <c r="F119" s="1" t="s">
        <v>26</v>
      </c>
      <c r="G119" s="1" t="s">
        <v>20</v>
      </c>
      <c r="H119" s="1">
        <v>1457</v>
      </c>
      <c r="I119" s="1">
        <v>9</v>
      </c>
      <c r="J119" s="1">
        <v>4</v>
      </c>
      <c r="K119" s="2">
        <v>22469.59</v>
      </c>
      <c r="L119" s="1">
        <v>1</v>
      </c>
      <c r="M119" s="1">
        <v>0.30099999999999999</v>
      </c>
      <c r="N119" s="1">
        <v>5</v>
      </c>
      <c r="O119" s="3" t="s">
        <v>21</v>
      </c>
    </row>
    <row r="120" spans="1:15" x14ac:dyDescent="0.3">
      <c r="A120" s="1" t="s">
        <v>265</v>
      </c>
      <c r="B120" s="1" t="s">
        <v>266</v>
      </c>
      <c r="C120" s="2">
        <v>44633.32</v>
      </c>
      <c r="D120" s="1" t="s">
        <v>24</v>
      </c>
      <c r="E120" s="1" t="s">
        <v>29</v>
      </c>
      <c r="F120" s="1" t="s">
        <v>19</v>
      </c>
      <c r="G120" s="1" t="s">
        <v>46</v>
      </c>
      <c r="H120" s="1">
        <v>674</v>
      </c>
      <c r="I120" s="1">
        <v>1</v>
      </c>
      <c r="J120" s="1">
        <v>3</v>
      </c>
      <c r="K120" s="2">
        <v>5531.83</v>
      </c>
      <c r="L120" s="1">
        <v>1</v>
      </c>
      <c r="M120" s="1">
        <v>0.51600000000000001</v>
      </c>
      <c r="N120" s="1">
        <v>8</v>
      </c>
      <c r="O120" s="3" t="s">
        <v>21</v>
      </c>
    </row>
    <row r="121" spans="1:15" x14ac:dyDescent="0.3">
      <c r="A121" s="1" t="s">
        <v>267</v>
      </c>
      <c r="B121" s="1" t="s">
        <v>268</v>
      </c>
      <c r="C121" s="2">
        <v>26990.14</v>
      </c>
      <c r="D121" s="1" t="s">
        <v>24</v>
      </c>
      <c r="E121" s="1" t="s">
        <v>39</v>
      </c>
      <c r="F121" s="1" t="s">
        <v>26</v>
      </c>
      <c r="G121" s="1" t="s">
        <v>20</v>
      </c>
      <c r="H121" s="1">
        <v>1992</v>
      </c>
      <c r="I121" s="1">
        <v>15</v>
      </c>
      <c r="J121" s="1">
        <v>4</v>
      </c>
      <c r="K121" s="2">
        <v>28030.84</v>
      </c>
      <c r="L121" s="1">
        <v>0</v>
      </c>
      <c r="M121" s="1">
        <v>0.3</v>
      </c>
      <c r="N121" s="1">
        <v>9</v>
      </c>
      <c r="O121" s="3" t="s">
        <v>21</v>
      </c>
    </row>
    <row r="122" spans="1:15" x14ac:dyDescent="0.3">
      <c r="A122" s="1" t="s">
        <v>269</v>
      </c>
      <c r="B122" s="1" t="s">
        <v>270</v>
      </c>
      <c r="C122" s="2">
        <v>40381.64</v>
      </c>
      <c r="D122" s="1" t="s">
        <v>24</v>
      </c>
      <c r="E122" s="1" t="s">
        <v>25</v>
      </c>
      <c r="F122" s="1" t="s">
        <v>26</v>
      </c>
      <c r="G122" s="1" t="s">
        <v>56</v>
      </c>
      <c r="H122" s="1">
        <v>1536</v>
      </c>
      <c r="I122" s="1">
        <v>3</v>
      </c>
      <c r="J122" s="1">
        <v>3</v>
      </c>
      <c r="K122" s="2">
        <v>11993.57</v>
      </c>
      <c r="L122" s="1">
        <v>0</v>
      </c>
      <c r="M122" s="1">
        <v>0.18</v>
      </c>
      <c r="N122" s="1">
        <v>1</v>
      </c>
      <c r="O122" s="3" t="s">
        <v>21</v>
      </c>
    </row>
    <row r="123" spans="1:15" x14ac:dyDescent="0.3">
      <c r="A123" s="1" t="s">
        <v>271</v>
      </c>
      <c r="B123" s="1" t="s">
        <v>272</v>
      </c>
      <c r="C123" s="2">
        <v>44809.760000000002</v>
      </c>
      <c r="D123" s="1" t="s">
        <v>17</v>
      </c>
      <c r="E123" s="1" t="s">
        <v>39</v>
      </c>
      <c r="F123" s="1" t="s">
        <v>19</v>
      </c>
      <c r="G123" s="1" t="s">
        <v>36</v>
      </c>
      <c r="H123" s="1">
        <v>415</v>
      </c>
      <c r="I123" s="1">
        <v>18</v>
      </c>
      <c r="J123" s="1">
        <v>0</v>
      </c>
      <c r="K123" s="2">
        <v>18705.509999999998</v>
      </c>
      <c r="L123" s="1">
        <v>0</v>
      </c>
      <c r="M123" s="1">
        <v>0.77300000000000002</v>
      </c>
      <c r="N123" s="1">
        <v>1</v>
      </c>
      <c r="O123" s="3" t="s">
        <v>21</v>
      </c>
    </row>
    <row r="124" spans="1:15" x14ac:dyDescent="0.3">
      <c r="A124" s="1" t="s">
        <v>273</v>
      </c>
      <c r="B124" s="1" t="s">
        <v>274</v>
      </c>
      <c r="C124" s="2">
        <v>15934.27</v>
      </c>
      <c r="D124" s="1" t="s">
        <v>24</v>
      </c>
      <c r="E124" s="1" t="s">
        <v>18</v>
      </c>
      <c r="F124" s="1" t="s">
        <v>30</v>
      </c>
      <c r="G124" s="1" t="s">
        <v>36</v>
      </c>
      <c r="H124" s="1">
        <v>995</v>
      </c>
      <c r="I124" s="1">
        <v>4</v>
      </c>
      <c r="J124" s="1">
        <v>0</v>
      </c>
      <c r="K124" s="2">
        <v>24567.15</v>
      </c>
      <c r="L124" s="1">
        <v>0</v>
      </c>
      <c r="M124" s="1">
        <v>0.58199999999999996</v>
      </c>
      <c r="N124" s="1">
        <v>3</v>
      </c>
      <c r="O124" s="4" t="s">
        <v>1936</v>
      </c>
    </row>
    <row r="125" spans="1:15" x14ac:dyDescent="0.3">
      <c r="A125" s="1" t="s">
        <v>275</v>
      </c>
      <c r="B125" s="1" t="s">
        <v>276</v>
      </c>
      <c r="C125" s="2">
        <v>5547.09</v>
      </c>
      <c r="D125" s="1" t="s">
        <v>51</v>
      </c>
      <c r="E125" s="1" t="s">
        <v>25</v>
      </c>
      <c r="F125" s="1" t="s">
        <v>26</v>
      </c>
      <c r="G125" s="1" t="s">
        <v>20</v>
      </c>
      <c r="H125" s="1">
        <v>646</v>
      </c>
      <c r="I125" s="1">
        <v>6</v>
      </c>
      <c r="J125" s="1">
        <v>0</v>
      </c>
      <c r="K125" s="2">
        <v>5490.87</v>
      </c>
      <c r="L125" s="1">
        <v>1</v>
      </c>
      <c r="M125" s="1">
        <v>0.438</v>
      </c>
      <c r="N125" s="1">
        <v>8</v>
      </c>
      <c r="O125" s="3" t="s">
        <v>21</v>
      </c>
    </row>
    <row r="126" spans="1:15" x14ac:dyDescent="0.3">
      <c r="A126" s="1" t="s">
        <v>277</v>
      </c>
      <c r="B126" s="1" t="s">
        <v>278</v>
      </c>
      <c r="C126" s="2">
        <v>11435.36</v>
      </c>
      <c r="D126" s="1" t="s">
        <v>24</v>
      </c>
      <c r="E126" s="1" t="s">
        <v>18</v>
      </c>
      <c r="F126" s="1" t="s">
        <v>30</v>
      </c>
      <c r="G126" s="1" t="s">
        <v>31</v>
      </c>
      <c r="H126" s="1">
        <v>1124</v>
      </c>
      <c r="I126" s="1">
        <v>8</v>
      </c>
      <c r="J126" s="1">
        <v>3</v>
      </c>
      <c r="K126" s="2">
        <v>16279.98</v>
      </c>
      <c r="L126" s="1">
        <v>0</v>
      </c>
      <c r="M126" s="1">
        <v>0.18099999999999999</v>
      </c>
      <c r="N126" s="1">
        <v>1</v>
      </c>
      <c r="O126" s="3" t="s">
        <v>21</v>
      </c>
    </row>
    <row r="127" spans="1:15" x14ac:dyDescent="0.3">
      <c r="A127" s="1" t="s">
        <v>279</v>
      </c>
      <c r="B127" s="1" t="s">
        <v>280</v>
      </c>
      <c r="C127" s="2">
        <v>21384.03</v>
      </c>
      <c r="D127" s="1" t="s">
        <v>24</v>
      </c>
      <c r="E127" s="1" t="s">
        <v>39</v>
      </c>
      <c r="F127" s="1" t="s">
        <v>19</v>
      </c>
      <c r="G127" s="1" t="s">
        <v>20</v>
      </c>
      <c r="H127" s="1">
        <v>1327</v>
      </c>
      <c r="I127" s="1">
        <v>4</v>
      </c>
      <c r="J127" s="1">
        <v>4</v>
      </c>
      <c r="K127" s="2">
        <v>7198.85</v>
      </c>
      <c r="L127" s="1">
        <v>0</v>
      </c>
      <c r="M127" s="1">
        <v>0.59399999999999997</v>
      </c>
      <c r="N127" s="1">
        <v>2</v>
      </c>
      <c r="O127" s="3" t="s">
        <v>21</v>
      </c>
    </row>
    <row r="128" spans="1:15" x14ac:dyDescent="0.3">
      <c r="A128" s="1" t="s">
        <v>281</v>
      </c>
      <c r="B128" s="1" t="s">
        <v>282</v>
      </c>
      <c r="C128" s="2">
        <v>40909.839999999997</v>
      </c>
      <c r="D128" s="1" t="s">
        <v>17</v>
      </c>
      <c r="E128" s="1" t="s">
        <v>25</v>
      </c>
      <c r="F128" s="1" t="s">
        <v>26</v>
      </c>
      <c r="G128" s="1" t="s">
        <v>20</v>
      </c>
      <c r="H128" s="1">
        <v>1426</v>
      </c>
      <c r="I128" s="1">
        <v>7</v>
      </c>
      <c r="J128" s="1">
        <v>4</v>
      </c>
      <c r="K128" s="2">
        <v>15339.16</v>
      </c>
      <c r="L128" s="1">
        <v>0</v>
      </c>
      <c r="M128" s="1">
        <v>0.629</v>
      </c>
      <c r="N128" s="1">
        <v>1</v>
      </c>
      <c r="O128" s="3" t="s">
        <v>21</v>
      </c>
    </row>
    <row r="129" spans="1:15" x14ac:dyDescent="0.3">
      <c r="A129" s="1" t="s">
        <v>283</v>
      </c>
      <c r="B129" s="1" t="s">
        <v>284</v>
      </c>
      <c r="C129" s="2">
        <v>43043.49</v>
      </c>
      <c r="D129" s="1" t="s">
        <v>24</v>
      </c>
      <c r="E129" s="1" t="s">
        <v>29</v>
      </c>
      <c r="F129" s="1" t="s">
        <v>26</v>
      </c>
      <c r="G129" s="1" t="s">
        <v>46</v>
      </c>
      <c r="H129" s="1">
        <v>1070</v>
      </c>
      <c r="I129" s="1">
        <v>1</v>
      </c>
      <c r="J129" s="1">
        <v>1</v>
      </c>
      <c r="K129" s="2">
        <v>17425.14</v>
      </c>
      <c r="L129" s="1">
        <v>0</v>
      </c>
      <c r="M129" s="1">
        <v>0.48</v>
      </c>
      <c r="N129" s="1">
        <v>1</v>
      </c>
      <c r="O129" s="3" t="s">
        <v>21</v>
      </c>
    </row>
    <row r="130" spans="1:15" x14ac:dyDescent="0.3">
      <c r="A130" s="1" t="s">
        <v>285</v>
      </c>
      <c r="B130" s="1" t="s">
        <v>286</v>
      </c>
      <c r="C130" s="2">
        <v>397.26</v>
      </c>
      <c r="D130" s="1" t="s">
        <v>51</v>
      </c>
      <c r="E130" s="1" t="s">
        <v>25</v>
      </c>
      <c r="F130" s="1" t="s">
        <v>19</v>
      </c>
      <c r="G130" s="1" t="s">
        <v>31</v>
      </c>
      <c r="H130" s="1">
        <v>526</v>
      </c>
      <c r="I130" s="1">
        <v>21</v>
      </c>
      <c r="J130" s="1">
        <v>2</v>
      </c>
      <c r="K130" s="2">
        <v>5157.32</v>
      </c>
      <c r="L130" s="1">
        <v>0</v>
      </c>
      <c r="M130" s="1">
        <v>0.373</v>
      </c>
      <c r="N130" s="1">
        <v>9</v>
      </c>
      <c r="O130" s="3" t="s">
        <v>21</v>
      </c>
    </row>
    <row r="131" spans="1:15" x14ac:dyDescent="0.3">
      <c r="A131" s="1" t="s">
        <v>287</v>
      </c>
      <c r="B131" s="1" t="s">
        <v>288</v>
      </c>
      <c r="C131" s="2">
        <v>25561.83</v>
      </c>
      <c r="D131" s="1" t="s">
        <v>24</v>
      </c>
      <c r="E131" s="1" t="s">
        <v>18</v>
      </c>
      <c r="F131" s="1" t="s">
        <v>26</v>
      </c>
      <c r="G131" s="1" t="s">
        <v>20</v>
      </c>
      <c r="H131" s="1">
        <v>859</v>
      </c>
      <c r="I131" s="1">
        <v>23</v>
      </c>
      <c r="J131" s="1">
        <v>0</v>
      </c>
      <c r="K131" s="2">
        <v>17466.48</v>
      </c>
      <c r="L131" s="1">
        <v>0</v>
      </c>
      <c r="M131" s="1">
        <v>0.86699999999999999</v>
      </c>
      <c r="N131" s="1">
        <v>1</v>
      </c>
      <c r="O131" s="3" t="s">
        <v>21</v>
      </c>
    </row>
    <row r="132" spans="1:15" x14ac:dyDescent="0.3">
      <c r="A132" s="1" t="s">
        <v>289</v>
      </c>
      <c r="B132" s="1" t="s">
        <v>290</v>
      </c>
      <c r="C132" s="2">
        <v>20899.68</v>
      </c>
      <c r="D132" s="1" t="s">
        <v>51</v>
      </c>
      <c r="E132" s="1" t="s">
        <v>25</v>
      </c>
      <c r="F132" s="1" t="s">
        <v>30</v>
      </c>
      <c r="G132" s="1" t="s">
        <v>56</v>
      </c>
      <c r="H132" s="1">
        <v>1695</v>
      </c>
      <c r="I132" s="1">
        <v>19</v>
      </c>
      <c r="J132" s="1">
        <v>0</v>
      </c>
      <c r="K132" s="2">
        <v>13701.75</v>
      </c>
      <c r="L132" s="1">
        <v>0</v>
      </c>
      <c r="M132" s="1">
        <v>0.70499999999999996</v>
      </c>
      <c r="N132" s="1">
        <v>4</v>
      </c>
      <c r="O132" s="3" t="s">
        <v>21</v>
      </c>
    </row>
    <row r="133" spans="1:15" x14ac:dyDescent="0.3">
      <c r="A133" s="1" t="s">
        <v>291</v>
      </c>
      <c r="B133" s="1" t="s">
        <v>292</v>
      </c>
      <c r="C133" s="2">
        <v>11144.29</v>
      </c>
      <c r="D133" s="1" t="s">
        <v>17</v>
      </c>
      <c r="E133" s="1" t="s">
        <v>29</v>
      </c>
      <c r="F133" s="1" t="s">
        <v>30</v>
      </c>
      <c r="G133" s="1" t="s">
        <v>36</v>
      </c>
      <c r="H133" s="1">
        <v>1911</v>
      </c>
      <c r="I133" s="1">
        <v>19</v>
      </c>
      <c r="J133" s="1">
        <v>0</v>
      </c>
      <c r="K133" s="2">
        <v>15707.79</v>
      </c>
      <c r="L133" s="1">
        <v>0</v>
      </c>
      <c r="M133" s="1">
        <v>0.35599999999999998</v>
      </c>
      <c r="N133" s="1">
        <v>7</v>
      </c>
      <c r="O133" s="3" t="s">
        <v>21</v>
      </c>
    </row>
    <row r="134" spans="1:15" x14ac:dyDescent="0.3">
      <c r="A134" s="1" t="s">
        <v>293</v>
      </c>
      <c r="B134" s="1" t="s">
        <v>294</v>
      </c>
      <c r="C134" s="2">
        <v>6037.28</v>
      </c>
      <c r="D134" s="1" t="s">
        <v>24</v>
      </c>
      <c r="E134" s="1" t="s">
        <v>29</v>
      </c>
      <c r="F134" s="1" t="s">
        <v>19</v>
      </c>
      <c r="G134" s="1" t="s">
        <v>56</v>
      </c>
      <c r="H134" s="1">
        <v>917</v>
      </c>
      <c r="I134" s="1">
        <v>6</v>
      </c>
      <c r="J134" s="1">
        <v>1</v>
      </c>
      <c r="K134" s="2">
        <v>27158.51</v>
      </c>
      <c r="L134" s="1">
        <v>0</v>
      </c>
      <c r="M134" s="1">
        <v>0.59299999999999997</v>
      </c>
      <c r="N134" s="1">
        <v>5</v>
      </c>
      <c r="O134" s="3" t="s">
        <v>21</v>
      </c>
    </row>
    <row r="135" spans="1:15" x14ac:dyDescent="0.3">
      <c r="A135" s="1" t="s">
        <v>295</v>
      </c>
      <c r="B135" s="1" t="s">
        <v>296</v>
      </c>
      <c r="C135" s="2">
        <v>16913.88</v>
      </c>
      <c r="D135" s="1" t="s">
        <v>17</v>
      </c>
      <c r="E135" s="1" t="s">
        <v>29</v>
      </c>
      <c r="F135" s="1" t="s">
        <v>26</v>
      </c>
      <c r="G135" s="1" t="s">
        <v>56</v>
      </c>
      <c r="H135" s="1">
        <v>325</v>
      </c>
      <c r="I135" s="1">
        <v>3</v>
      </c>
      <c r="J135" s="1">
        <v>1</v>
      </c>
      <c r="K135" s="2">
        <v>14565.71</v>
      </c>
      <c r="L135" s="1">
        <v>0</v>
      </c>
      <c r="M135" s="1">
        <v>0.23400000000000001</v>
      </c>
      <c r="N135" s="1">
        <v>5</v>
      </c>
      <c r="O135" s="3" t="s">
        <v>21</v>
      </c>
    </row>
    <row r="136" spans="1:15" x14ac:dyDescent="0.3">
      <c r="A136" s="1" t="s">
        <v>297</v>
      </c>
      <c r="B136" s="1" t="s">
        <v>298</v>
      </c>
      <c r="C136" s="2">
        <v>47148.34</v>
      </c>
      <c r="D136" s="1" t="s">
        <v>24</v>
      </c>
      <c r="E136" s="1" t="s">
        <v>29</v>
      </c>
      <c r="F136" s="1" t="s">
        <v>26</v>
      </c>
      <c r="G136" s="1" t="s">
        <v>56</v>
      </c>
      <c r="H136" s="1">
        <v>1205</v>
      </c>
      <c r="I136" s="1">
        <v>20</v>
      </c>
      <c r="J136" s="1">
        <v>1</v>
      </c>
      <c r="K136" s="2">
        <v>14336.84</v>
      </c>
      <c r="L136" s="1">
        <v>0</v>
      </c>
      <c r="M136" s="1">
        <v>1.0999999999999999E-2</v>
      </c>
      <c r="N136" s="1">
        <v>7</v>
      </c>
      <c r="O136" s="3" t="s">
        <v>21</v>
      </c>
    </row>
    <row r="137" spans="1:15" x14ac:dyDescent="0.3">
      <c r="A137" s="1" t="s">
        <v>299</v>
      </c>
      <c r="B137" s="1" t="s">
        <v>300</v>
      </c>
      <c r="C137" s="2">
        <v>16193.99</v>
      </c>
      <c r="D137" s="1" t="s">
        <v>51</v>
      </c>
      <c r="E137" s="1" t="s">
        <v>18</v>
      </c>
      <c r="F137" s="1" t="s">
        <v>19</v>
      </c>
      <c r="G137" s="1" t="s">
        <v>31</v>
      </c>
      <c r="H137" s="1">
        <v>1439</v>
      </c>
      <c r="I137" s="1">
        <v>14</v>
      </c>
      <c r="J137" s="1">
        <v>0</v>
      </c>
      <c r="K137" s="2">
        <v>14164.92</v>
      </c>
      <c r="L137" s="1">
        <v>0</v>
      </c>
      <c r="M137" s="1">
        <v>0.86899999999999999</v>
      </c>
      <c r="N137" s="1">
        <v>6</v>
      </c>
      <c r="O137" s="3" t="s">
        <v>21</v>
      </c>
    </row>
    <row r="138" spans="1:15" x14ac:dyDescent="0.3">
      <c r="A138" s="1" t="s">
        <v>301</v>
      </c>
      <c r="B138" s="1" t="s">
        <v>302</v>
      </c>
      <c r="C138" s="2">
        <v>25963.59</v>
      </c>
      <c r="D138" s="1" t="s">
        <v>17</v>
      </c>
      <c r="E138" s="1" t="s">
        <v>25</v>
      </c>
      <c r="F138" s="1" t="s">
        <v>30</v>
      </c>
      <c r="G138" s="1" t="s">
        <v>31</v>
      </c>
      <c r="H138" s="1">
        <v>1295</v>
      </c>
      <c r="I138" s="1">
        <v>17</v>
      </c>
      <c r="J138" s="1">
        <v>4</v>
      </c>
      <c r="K138" s="2">
        <v>18730.849999999999</v>
      </c>
      <c r="L138" s="1">
        <v>0</v>
      </c>
      <c r="M138" s="1">
        <v>0.81899999999999995</v>
      </c>
      <c r="N138" s="1">
        <v>6</v>
      </c>
      <c r="O138" s="4" t="s">
        <v>1936</v>
      </c>
    </row>
    <row r="139" spans="1:15" x14ac:dyDescent="0.3">
      <c r="A139" s="1" t="s">
        <v>303</v>
      </c>
      <c r="B139" s="1" t="s">
        <v>304</v>
      </c>
      <c r="C139" s="2">
        <v>35165.800000000003</v>
      </c>
      <c r="D139" s="1" t="s">
        <v>24</v>
      </c>
      <c r="E139" s="1" t="s">
        <v>39</v>
      </c>
      <c r="F139" s="1" t="s">
        <v>30</v>
      </c>
      <c r="G139" s="1" t="s">
        <v>31</v>
      </c>
      <c r="H139" s="1">
        <v>1517</v>
      </c>
      <c r="I139" s="1">
        <v>1</v>
      </c>
      <c r="J139" s="1">
        <v>0</v>
      </c>
      <c r="K139" s="2">
        <v>11088.77</v>
      </c>
      <c r="L139" s="1">
        <v>1</v>
      </c>
      <c r="M139" s="1">
        <v>0.63900000000000001</v>
      </c>
      <c r="N139" s="1">
        <v>8</v>
      </c>
      <c r="O139" s="3" t="s">
        <v>21</v>
      </c>
    </row>
    <row r="140" spans="1:15" x14ac:dyDescent="0.3">
      <c r="A140" s="1" t="s">
        <v>305</v>
      </c>
      <c r="B140" s="1" t="s">
        <v>306</v>
      </c>
      <c r="C140" s="2">
        <v>18213.3</v>
      </c>
      <c r="D140" s="1" t="s">
        <v>51</v>
      </c>
      <c r="E140" s="1" t="s">
        <v>29</v>
      </c>
      <c r="F140" s="1" t="s">
        <v>19</v>
      </c>
      <c r="G140" s="1" t="s">
        <v>36</v>
      </c>
      <c r="H140" s="1">
        <v>36</v>
      </c>
      <c r="I140" s="1">
        <v>13</v>
      </c>
      <c r="J140" s="1">
        <v>1</v>
      </c>
      <c r="K140" s="2">
        <v>24060.67</v>
      </c>
      <c r="L140" s="1">
        <v>0</v>
      </c>
      <c r="M140" s="1">
        <v>0.81100000000000005</v>
      </c>
      <c r="N140" s="1">
        <v>9</v>
      </c>
      <c r="O140" s="3" t="s">
        <v>21</v>
      </c>
    </row>
    <row r="141" spans="1:15" x14ac:dyDescent="0.3">
      <c r="A141" s="1" t="s">
        <v>307</v>
      </c>
      <c r="B141" s="1" t="s">
        <v>308</v>
      </c>
      <c r="C141" s="2">
        <v>48590.52</v>
      </c>
      <c r="D141" s="1" t="s">
        <v>17</v>
      </c>
      <c r="E141" s="1" t="s">
        <v>39</v>
      </c>
      <c r="F141" s="1" t="s">
        <v>26</v>
      </c>
      <c r="G141" s="1" t="s">
        <v>46</v>
      </c>
      <c r="H141" s="1">
        <v>1528</v>
      </c>
      <c r="I141" s="1">
        <v>9</v>
      </c>
      <c r="J141" s="1">
        <v>1</v>
      </c>
      <c r="K141" s="2">
        <v>8652.9</v>
      </c>
      <c r="L141" s="1">
        <v>0</v>
      </c>
      <c r="M141" s="1">
        <v>0.78100000000000003</v>
      </c>
      <c r="N141" s="1">
        <v>2</v>
      </c>
      <c r="O141" s="3" t="s">
        <v>21</v>
      </c>
    </row>
    <row r="142" spans="1:15" x14ac:dyDescent="0.3">
      <c r="A142" s="1" t="s">
        <v>309</v>
      </c>
      <c r="B142" s="1" t="s">
        <v>310</v>
      </c>
      <c r="C142" s="2">
        <v>48124.24</v>
      </c>
      <c r="D142" s="1" t="s">
        <v>24</v>
      </c>
      <c r="E142" s="1" t="s">
        <v>39</v>
      </c>
      <c r="F142" s="1" t="s">
        <v>30</v>
      </c>
      <c r="G142" s="1" t="s">
        <v>20</v>
      </c>
      <c r="H142" s="1">
        <v>64</v>
      </c>
      <c r="I142" s="1">
        <v>4</v>
      </c>
      <c r="J142" s="1">
        <v>2</v>
      </c>
      <c r="K142" s="2">
        <v>9056.43</v>
      </c>
      <c r="L142" s="1">
        <v>1</v>
      </c>
      <c r="M142" s="1">
        <v>0.86</v>
      </c>
      <c r="N142" s="1">
        <v>4</v>
      </c>
      <c r="O142" s="3" t="s">
        <v>21</v>
      </c>
    </row>
    <row r="143" spans="1:15" x14ac:dyDescent="0.3">
      <c r="A143" s="1" t="s">
        <v>311</v>
      </c>
      <c r="B143" s="1" t="s">
        <v>312</v>
      </c>
      <c r="C143" s="2">
        <v>12626.53</v>
      </c>
      <c r="D143" s="1" t="s">
        <v>17</v>
      </c>
      <c r="E143" s="1" t="s">
        <v>25</v>
      </c>
      <c r="F143" s="1" t="s">
        <v>26</v>
      </c>
      <c r="G143" s="1" t="s">
        <v>20</v>
      </c>
      <c r="H143" s="1">
        <v>1944</v>
      </c>
      <c r="I143" s="1">
        <v>11</v>
      </c>
      <c r="J143" s="1">
        <v>3</v>
      </c>
      <c r="K143" s="2">
        <v>17703.63</v>
      </c>
      <c r="L143" s="1">
        <v>0</v>
      </c>
      <c r="M143" s="1">
        <v>0.89200000000000002</v>
      </c>
      <c r="N143" s="1">
        <v>9</v>
      </c>
      <c r="O143" s="3" t="s">
        <v>21</v>
      </c>
    </row>
    <row r="144" spans="1:15" x14ac:dyDescent="0.3">
      <c r="A144" s="1" t="s">
        <v>313</v>
      </c>
      <c r="B144" s="1" t="s">
        <v>314</v>
      </c>
      <c r="C144" s="2">
        <v>24887.56</v>
      </c>
      <c r="D144" s="1" t="s">
        <v>24</v>
      </c>
      <c r="E144" s="1" t="s">
        <v>39</v>
      </c>
      <c r="F144" s="1" t="s">
        <v>30</v>
      </c>
      <c r="G144" s="1" t="s">
        <v>46</v>
      </c>
      <c r="H144" s="1">
        <v>1865</v>
      </c>
      <c r="I144" s="1">
        <v>9</v>
      </c>
      <c r="J144" s="1">
        <v>2</v>
      </c>
      <c r="K144" s="2">
        <v>7870.69</v>
      </c>
      <c r="L144" s="1">
        <v>0</v>
      </c>
      <c r="M144" s="1">
        <v>0.81899999999999995</v>
      </c>
      <c r="N144" s="1">
        <v>1</v>
      </c>
      <c r="O144" s="3" t="s">
        <v>21</v>
      </c>
    </row>
    <row r="145" spans="1:15" x14ac:dyDescent="0.3">
      <c r="A145" s="1" t="s">
        <v>315</v>
      </c>
      <c r="B145" s="1" t="s">
        <v>316</v>
      </c>
      <c r="C145" s="2">
        <v>15078.87</v>
      </c>
      <c r="D145" s="1" t="s">
        <v>51</v>
      </c>
      <c r="E145" s="1" t="s">
        <v>39</v>
      </c>
      <c r="F145" s="1" t="s">
        <v>26</v>
      </c>
      <c r="G145" s="1" t="s">
        <v>20</v>
      </c>
      <c r="H145" s="1">
        <v>258</v>
      </c>
      <c r="I145" s="1">
        <v>17</v>
      </c>
      <c r="J145" s="1">
        <v>2</v>
      </c>
      <c r="K145" s="2">
        <v>2789.39</v>
      </c>
      <c r="L145" s="1">
        <v>0</v>
      </c>
      <c r="M145" s="1">
        <v>0.85199999999999998</v>
      </c>
      <c r="N145" s="1">
        <v>8</v>
      </c>
      <c r="O145" s="3" t="s">
        <v>21</v>
      </c>
    </row>
    <row r="146" spans="1:15" x14ac:dyDescent="0.3">
      <c r="A146" s="1" t="s">
        <v>317</v>
      </c>
      <c r="B146" s="1" t="s">
        <v>318</v>
      </c>
      <c r="C146" s="2">
        <v>14277.78</v>
      </c>
      <c r="D146" s="1" t="s">
        <v>51</v>
      </c>
      <c r="E146" s="1" t="s">
        <v>18</v>
      </c>
      <c r="F146" s="1" t="s">
        <v>30</v>
      </c>
      <c r="G146" s="1" t="s">
        <v>56</v>
      </c>
      <c r="H146" s="1">
        <v>282</v>
      </c>
      <c r="I146" s="1">
        <v>5</v>
      </c>
      <c r="J146" s="1">
        <v>0</v>
      </c>
      <c r="K146" s="2">
        <v>6247.01</v>
      </c>
      <c r="L146" s="1">
        <v>0</v>
      </c>
      <c r="M146" s="1">
        <v>0.502</v>
      </c>
      <c r="N146" s="1">
        <v>1</v>
      </c>
      <c r="O146" s="3" t="s">
        <v>21</v>
      </c>
    </row>
    <row r="147" spans="1:15" x14ac:dyDescent="0.3">
      <c r="A147" s="1" t="s">
        <v>319</v>
      </c>
      <c r="B147" s="1" t="s">
        <v>320</v>
      </c>
      <c r="C147" s="2">
        <v>1892.5</v>
      </c>
      <c r="D147" s="1" t="s">
        <v>17</v>
      </c>
      <c r="E147" s="1" t="s">
        <v>39</v>
      </c>
      <c r="F147" s="1" t="s">
        <v>26</v>
      </c>
      <c r="G147" s="1" t="s">
        <v>36</v>
      </c>
      <c r="H147" s="1">
        <v>1292</v>
      </c>
      <c r="I147" s="1">
        <v>21</v>
      </c>
      <c r="J147" s="1">
        <v>3</v>
      </c>
      <c r="K147" s="2">
        <v>27418.36</v>
      </c>
      <c r="L147" s="1">
        <v>0</v>
      </c>
      <c r="M147" s="1">
        <v>0.70799999999999996</v>
      </c>
      <c r="N147" s="1">
        <v>4</v>
      </c>
      <c r="O147" s="3" t="s">
        <v>21</v>
      </c>
    </row>
    <row r="148" spans="1:15" x14ac:dyDescent="0.3">
      <c r="A148" s="1" t="s">
        <v>321</v>
      </c>
      <c r="B148" s="1" t="s">
        <v>322</v>
      </c>
      <c r="C148" s="2">
        <v>30497.74</v>
      </c>
      <c r="D148" s="1" t="s">
        <v>17</v>
      </c>
      <c r="E148" s="1" t="s">
        <v>25</v>
      </c>
      <c r="F148" s="1" t="s">
        <v>19</v>
      </c>
      <c r="G148" s="1" t="s">
        <v>20</v>
      </c>
      <c r="H148" s="1">
        <v>1811</v>
      </c>
      <c r="I148" s="1">
        <v>11</v>
      </c>
      <c r="J148" s="1">
        <v>3</v>
      </c>
      <c r="K148" s="2">
        <v>419.95</v>
      </c>
      <c r="L148" s="1">
        <v>0</v>
      </c>
      <c r="M148" s="1">
        <v>0.33300000000000002</v>
      </c>
      <c r="N148" s="1">
        <v>9</v>
      </c>
      <c r="O148" s="4" t="s">
        <v>1936</v>
      </c>
    </row>
    <row r="149" spans="1:15" x14ac:dyDescent="0.3">
      <c r="A149" s="1" t="s">
        <v>323</v>
      </c>
      <c r="B149" s="1" t="s">
        <v>324</v>
      </c>
      <c r="C149" s="2">
        <v>25158.82</v>
      </c>
      <c r="D149" s="1" t="s">
        <v>24</v>
      </c>
      <c r="E149" s="1" t="s">
        <v>39</v>
      </c>
      <c r="F149" s="1" t="s">
        <v>30</v>
      </c>
      <c r="G149" s="1" t="s">
        <v>36</v>
      </c>
      <c r="H149" s="1">
        <v>200</v>
      </c>
      <c r="I149" s="1">
        <v>23</v>
      </c>
      <c r="J149" s="1">
        <v>0</v>
      </c>
      <c r="K149" s="2">
        <v>4090.5</v>
      </c>
      <c r="L149" s="1">
        <v>1</v>
      </c>
      <c r="M149" s="1">
        <v>0.86099999999999999</v>
      </c>
      <c r="N149" s="1">
        <v>4</v>
      </c>
      <c r="O149" s="4" t="s">
        <v>1936</v>
      </c>
    </row>
    <row r="150" spans="1:15" x14ac:dyDescent="0.3">
      <c r="A150" s="1" t="s">
        <v>325</v>
      </c>
      <c r="B150" s="1" t="s">
        <v>326</v>
      </c>
      <c r="C150" s="2">
        <v>2621.36</v>
      </c>
      <c r="D150" s="1" t="s">
        <v>51</v>
      </c>
      <c r="E150" s="1" t="s">
        <v>25</v>
      </c>
      <c r="F150" s="1" t="s">
        <v>19</v>
      </c>
      <c r="G150" s="1" t="s">
        <v>46</v>
      </c>
      <c r="H150" s="1">
        <v>584</v>
      </c>
      <c r="I150" s="1">
        <v>0</v>
      </c>
      <c r="J150" s="1">
        <v>4</v>
      </c>
      <c r="K150" s="2">
        <v>22765.39</v>
      </c>
      <c r="L150" s="1">
        <v>0</v>
      </c>
      <c r="M150" s="1">
        <v>0.85899999999999999</v>
      </c>
      <c r="N150" s="1">
        <v>5</v>
      </c>
      <c r="O150" s="3" t="s">
        <v>21</v>
      </c>
    </row>
    <row r="151" spans="1:15" x14ac:dyDescent="0.3">
      <c r="A151" s="1" t="s">
        <v>327</v>
      </c>
      <c r="B151" s="1" t="s">
        <v>328</v>
      </c>
      <c r="C151" s="2">
        <v>13968.39</v>
      </c>
      <c r="D151" s="1" t="s">
        <v>24</v>
      </c>
      <c r="E151" s="1" t="s">
        <v>29</v>
      </c>
      <c r="F151" s="1" t="s">
        <v>30</v>
      </c>
      <c r="G151" s="1" t="s">
        <v>20</v>
      </c>
      <c r="H151" s="1">
        <v>866</v>
      </c>
      <c r="I151" s="1">
        <v>6</v>
      </c>
      <c r="J151" s="1">
        <v>0</v>
      </c>
      <c r="K151" s="2">
        <v>29397.84</v>
      </c>
      <c r="L151" s="1">
        <v>1</v>
      </c>
      <c r="M151" s="1">
        <v>6.6000000000000003E-2</v>
      </c>
      <c r="N151" s="1">
        <v>9</v>
      </c>
      <c r="O151" s="3" t="s">
        <v>21</v>
      </c>
    </row>
    <row r="152" spans="1:15" x14ac:dyDescent="0.3">
      <c r="A152" s="1" t="s">
        <v>329</v>
      </c>
      <c r="B152" s="1" t="s">
        <v>330</v>
      </c>
      <c r="C152" s="2">
        <v>45417.88</v>
      </c>
      <c r="D152" s="1" t="s">
        <v>51</v>
      </c>
      <c r="E152" s="1" t="s">
        <v>39</v>
      </c>
      <c r="F152" s="1" t="s">
        <v>30</v>
      </c>
      <c r="G152" s="1" t="s">
        <v>36</v>
      </c>
      <c r="H152" s="1">
        <v>1479</v>
      </c>
      <c r="I152" s="1">
        <v>11</v>
      </c>
      <c r="J152" s="1">
        <v>4</v>
      </c>
      <c r="K152" s="2">
        <v>20676.740000000002</v>
      </c>
      <c r="L152" s="1">
        <v>0</v>
      </c>
      <c r="M152" s="1">
        <v>0.34699999999999998</v>
      </c>
      <c r="N152" s="1">
        <v>8</v>
      </c>
      <c r="O152" s="3" t="s">
        <v>21</v>
      </c>
    </row>
    <row r="153" spans="1:15" x14ac:dyDescent="0.3">
      <c r="A153" s="1" t="s">
        <v>331</v>
      </c>
      <c r="B153" s="1" t="s">
        <v>332</v>
      </c>
      <c r="C153" s="2">
        <v>12016.12</v>
      </c>
      <c r="D153" s="1" t="s">
        <v>17</v>
      </c>
      <c r="E153" s="1" t="s">
        <v>39</v>
      </c>
      <c r="F153" s="1" t="s">
        <v>30</v>
      </c>
      <c r="G153" s="1" t="s">
        <v>56</v>
      </c>
      <c r="H153" s="1">
        <v>1886</v>
      </c>
      <c r="I153" s="1">
        <v>6</v>
      </c>
      <c r="J153" s="1">
        <v>4</v>
      </c>
      <c r="K153" s="2">
        <v>27677.8</v>
      </c>
      <c r="L153" s="1">
        <v>0</v>
      </c>
      <c r="M153" s="1">
        <v>0.17100000000000001</v>
      </c>
      <c r="N153" s="1">
        <v>1</v>
      </c>
      <c r="O153" s="3" t="s">
        <v>21</v>
      </c>
    </row>
    <row r="154" spans="1:15" x14ac:dyDescent="0.3">
      <c r="A154" s="1" t="s">
        <v>333</v>
      </c>
      <c r="B154" s="1" t="s">
        <v>334</v>
      </c>
      <c r="C154" s="2">
        <v>7287.5</v>
      </c>
      <c r="D154" s="1" t="s">
        <v>24</v>
      </c>
      <c r="E154" s="1" t="s">
        <v>39</v>
      </c>
      <c r="F154" s="1" t="s">
        <v>26</v>
      </c>
      <c r="G154" s="1" t="s">
        <v>56</v>
      </c>
      <c r="H154" s="1">
        <v>1535</v>
      </c>
      <c r="I154" s="1">
        <v>8</v>
      </c>
      <c r="J154" s="1">
        <v>3</v>
      </c>
      <c r="K154" s="2">
        <v>25671.55</v>
      </c>
      <c r="L154" s="1">
        <v>0</v>
      </c>
      <c r="M154" s="1">
        <v>0.13600000000000001</v>
      </c>
      <c r="N154" s="1">
        <v>3</v>
      </c>
      <c r="O154" s="3" t="s">
        <v>21</v>
      </c>
    </row>
    <row r="155" spans="1:15" x14ac:dyDescent="0.3">
      <c r="A155" s="1" t="s">
        <v>335</v>
      </c>
      <c r="B155" s="1" t="s">
        <v>336</v>
      </c>
      <c r="C155" s="2">
        <v>24498.17</v>
      </c>
      <c r="D155" s="1" t="s">
        <v>24</v>
      </c>
      <c r="E155" s="1" t="s">
        <v>29</v>
      </c>
      <c r="F155" s="1" t="s">
        <v>30</v>
      </c>
      <c r="G155" s="1" t="s">
        <v>46</v>
      </c>
      <c r="H155" s="1">
        <v>625</v>
      </c>
      <c r="I155" s="1">
        <v>19</v>
      </c>
      <c r="J155" s="1">
        <v>0</v>
      </c>
      <c r="K155" s="2">
        <v>14451.11</v>
      </c>
      <c r="L155" s="1">
        <v>1</v>
      </c>
      <c r="M155" s="1">
        <v>0.41499999999999998</v>
      </c>
      <c r="N155" s="1">
        <v>4</v>
      </c>
      <c r="O155" s="3" t="s">
        <v>21</v>
      </c>
    </row>
    <row r="156" spans="1:15" x14ac:dyDescent="0.3">
      <c r="A156" s="1" t="s">
        <v>337</v>
      </c>
      <c r="B156" s="1" t="s">
        <v>338</v>
      </c>
      <c r="C156" s="2">
        <v>49283.24</v>
      </c>
      <c r="D156" s="1" t="s">
        <v>51</v>
      </c>
      <c r="E156" s="1" t="s">
        <v>18</v>
      </c>
      <c r="F156" s="1" t="s">
        <v>19</v>
      </c>
      <c r="G156" s="1" t="s">
        <v>31</v>
      </c>
      <c r="H156" s="1">
        <v>1426</v>
      </c>
      <c r="I156" s="1">
        <v>14</v>
      </c>
      <c r="J156" s="1">
        <v>0</v>
      </c>
      <c r="K156" s="2">
        <v>10072.35</v>
      </c>
      <c r="L156" s="1">
        <v>0</v>
      </c>
      <c r="M156" s="1">
        <v>0.626</v>
      </c>
      <c r="N156" s="1">
        <v>3</v>
      </c>
      <c r="O156" s="3" t="s">
        <v>21</v>
      </c>
    </row>
    <row r="157" spans="1:15" x14ac:dyDescent="0.3">
      <c r="A157" s="1" t="s">
        <v>339</v>
      </c>
      <c r="B157" s="1" t="s">
        <v>340</v>
      </c>
      <c r="C157" s="2">
        <v>12140.66</v>
      </c>
      <c r="D157" s="1" t="s">
        <v>51</v>
      </c>
      <c r="E157" s="1" t="s">
        <v>39</v>
      </c>
      <c r="F157" s="1" t="s">
        <v>26</v>
      </c>
      <c r="G157" s="1" t="s">
        <v>20</v>
      </c>
      <c r="H157" s="1">
        <v>1441</v>
      </c>
      <c r="I157" s="1">
        <v>22</v>
      </c>
      <c r="J157" s="1">
        <v>3</v>
      </c>
      <c r="K157" s="2">
        <v>19003.91</v>
      </c>
      <c r="L157" s="1">
        <v>0</v>
      </c>
      <c r="M157" s="1">
        <v>0.34399999999999997</v>
      </c>
      <c r="N157" s="1">
        <v>9</v>
      </c>
      <c r="O157" s="3" t="s">
        <v>21</v>
      </c>
    </row>
    <row r="158" spans="1:15" x14ac:dyDescent="0.3">
      <c r="A158" s="1" t="s">
        <v>341</v>
      </c>
      <c r="B158" s="1" t="s">
        <v>342</v>
      </c>
      <c r="C158" s="2">
        <v>33623.17</v>
      </c>
      <c r="D158" s="1" t="s">
        <v>51</v>
      </c>
      <c r="E158" s="1" t="s">
        <v>25</v>
      </c>
      <c r="F158" s="1" t="s">
        <v>26</v>
      </c>
      <c r="G158" s="1" t="s">
        <v>56</v>
      </c>
      <c r="H158" s="1">
        <v>1833</v>
      </c>
      <c r="I158" s="1">
        <v>11</v>
      </c>
      <c r="J158" s="1">
        <v>2</v>
      </c>
      <c r="K158" s="2">
        <v>16053.25</v>
      </c>
      <c r="L158" s="1">
        <v>0</v>
      </c>
      <c r="M158" s="1">
        <v>0.309</v>
      </c>
      <c r="N158" s="1">
        <v>6</v>
      </c>
      <c r="O158" s="3" t="s">
        <v>21</v>
      </c>
    </row>
    <row r="159" spans="1:15" x14ac:dyDescent="0.3">
      <c r="A159" s="1" t="s">
        <v>343</v>
      </c>
      <c r="B159" s="1" t="s">
        <v>344</v>
      </c>
      <c r="C159" s="2">
        <v>38092.9</v>
      </c>
      <c r="D159" s="1" t="s">
        <v>17</v>
      </c>
      <c r="E159" s="1" t="s">
        <v>18</v>
      </c>
      <c r="F159" s="1" t="s">
        <v>30</v>
      </c>
      <c r="G159" s="1" t="s">
        <v>56</v>
      </c>
      <c r="H159" s="1">
        <v>1804</v>
      </c>
      <c r="I159" s="1">
        <v>12</v>
      </c>
      <c r="J159" s="1">
        <v>0</v>
      </c>
      <c r="K159" s="2">
        <v>872.3</v>
      </c>
      <c r="L159" s="1">
        <v>0</v>
      </c>
      <c r="M159" s="1">
        <v>9.4E-2</v>
      </c>
      <c r="N159" s="1">
        <v>3</v>
      </c>
      <c r="O159" s="3" t="s">
        <v>21</v>
      </c>
    </row>
    <row r="160" spans="1:15" x14ac:dyDescent="0.3">
      <c r="A160" s="1" t="s">
        <v>345</v>
      </c>
      <c r="B160" s="1" t="s">
        <v>346</v>
      </c>
      <c r="C160" s="2">
        <v>11920</v>
      </c>
      <c r="D160" s="1" t="s">
        <v>24</v>
      </c>
      <c r="E160" s="1" t="s">
        <v>18</v>
      </c>
      <c r="F160" s="1" t="s">
        <v>26</v>
      </c>
      <c r="G160" s="1" t="s">
        <v>46</v>
      </c>
      <c r="H160" s="1">
        <v>1027</v>
      </c>
      <c r="I160" s="1">
        <v>21</v>
      </c>
      <c r="J160" s="1">
        <v>1</v>
      </c>
      <c r="K160" s="2">
        <v>28723.19</v>
      </c>
      <c r="L160" s="1">
        <v>0</v>
      </c>
      <c r="M160" s="1">
        <v>0.38300000000000001</v>
      </c>
      <c r="N160" s="1">
        <v>8</v>
      </c>
      <c r="O160" s="3" t="s">
        <v>21</v>
      </c>
    </row>
    <row r="161" spans="1:15" x14ac:dyDescent="0.3">
      <c r="A161" s="1" t="s">
        <v>347</v>
      </c>
      <c r="B161" s="1" t="s">
        <v>348</v>
      </c>
      <c r="C161" s="2">
        <v>36424.410000000003</v>
      </c>
      <c r="D161" s="1" t="s">
        <v>51</v>
      </c>
      <c r="E161" s="1" t="s">
        <v>18</v>
      </c>
      <c r="F161" s="1" t="s">
        <v>30</v>
      </c>
      <c r="G161" s="1" t="s">
        <v>56</v>
      </c>
      <c r="H161" s="1">
        <v>682</v>
      </c>
      <c r="I161" s="1">
        <v>3</v>
      </c>
      <c r="J161" s="1">
        <v>1</v>
      </c>
      <c r="K161" s="2">
        <v>17150.400000000001</v>
      </c>
      <c r="L161" s="1">
        <v>0</v>
      </c>
      <c r="M161" s="1">
        <v>0.47099999999999997</v>
      </c>
      <c r="N161" s="1">
        <v>9</v>
      </c>
      <c r="O161" s="3" t="s">
        <v>21</v>
      </c>
    </row>
    <row r="162" spans="1:15" x14ac:dyDescent="0.3">
      <c r="A162" s="1" t="s">
        <v>349</v>
      </c>
      <c r="B162" s="1" t="s">
        <v>350</v>
      </c>
      <c r="C162" s="2">
        <v>18420.77</v>
      </c>
      <c r="D162" s="1" t="s">
        <v>17</v>
      </c>
      <c r="E162" s="1" t="s">
        <v>39</v>
      </c>
      <c r="F162" s="1" t="s">
        <v>19</v>
      </c>
      <c r="G162" s="1" t="s">
        <v>20</v>
      </c>
      <c r="H162" s="1">
        <v>692</v>
      </c>
      <c r="I162" s="1">
        <v>9</v>
      </c>
      <c r="J162" s="1">
        <v>0</v>
      </c>
      <c r="K162" s="2">
        <v>26247.3</v>
      </c>
      <c r="L162" s="1">
        <v>0</v>
      </c>
      <c r="M162" s="1">
        <v>0.39900000000000002</v>
      </c>
      <c r="N162" s="1">
        <v>4</v>
      </c>
      <c r="O162" s="3" t="s">
        <v>21</v>
      </c>
    </row>
    <row r="163" spans="1:15" x14ac:dyDescent="0.3">
      <c r="A163" s="1" t="s">
        <v>351</v>
      </c>
      <c r="B163" s="1" t="s">
        <v>352</v>
      </c>
      <c r="C163" s="2">
        <v>31633.68</v>
      </c>
      <c r="D163" s="1" t="s">
        <v>51</v>
      </c>
      <c r="E163" s="1" t="s">
        <v>29</v>
      </c>
      <c r="F163" s="1" t="s">
        <v>26</v>
      </c>
      <c r="G163" s="1" t="s">
        <v>46</v>
      </c>
      <c r="H163" s="1">
        <v>118</v>
      </c>
      <c r="I163" s="1">
        <v>23</v>
      </c>
      <c r="J163" s="1">
        <v>4</v>
      </c>
      <c r="K163" s="2">
        <v>22065.439999999999</v>
      </c>
      <c r="L163" s="1">
        <v>0</v>
      </c>
      <c r="M163" s="1">
        <v>0.68</v>
      </c>
      <c r="N163" s="1">
        <v>5</v>
      </c>
      <c r="O163" s="3" t="s">
        <v>21</v>
      </c>
    </row>
    <row r="164" spans="1:15" x14ac:dyDescent="0.3">
      <c r="A164" s="1" t="s">
        <v>353</v>
      </c>
      <c r="B164" s="1" t="s">
        <v>354</v>
      </c>
      <c r="C164" s="2">
        <v>31694.81</v>
      </c>
      <c r="D164" s="1" t="s">
        <v>24</v>
      </c>
      <c r="E164" s="1" t="s">
        <v>29</v>
      </c>
      <c r="F164" s="1" t="s">
        <v>26</v>
      </c>
      <c r="G164" s="1" t="s">
        <v>36</v>
      </c>
      <c r="H164" s="1">
        <v>661</v>
      </c>
      <c r="I164" s="1">
        <v>2</v>
      </c>
      <c r="J164" s="1">
        <v>3</v>
      </c>
      <c r="K164" s="2">
        <v>10290.91</v>
      </c>
      <c r="L164" s="1">
        <v>1</v>
      </c>
      <c r="M164" s="1">
        <v>0.28799999999999998</v>
      </c>
      <c r="N164" s="1">
        <v>3</v>
      </c>
      <c r="O164" s="3" t="s">
        <v>21</v>
      </c>
    </row>
    <row r="165" spans="1:15" x14ac:dyDescent="0.3">
      <c r="A165" s="1" t="s">
        <v>355</v>
      </c>
      <c r="B165" s="1" t="s">
        <v>356</v>
      </c>
      <c r="C165" s="2">
        <v>26811.95</v>
      </c>
      <c r="D165" s="1" t="s">
        <v>51</v>
      </c>
      <c r="E165" s="1" t="s">
        <v>39</v>
      </c>
      <c r="F165" s="1" t="s">
        <v>19</v>
      </c>
      <c r="G165" s="1" t="s">
        <v>46</v>
      </c>
      <c r="H165" s="1">
        <v>1638</v>
      </c>
      <c r="I165" s="1">
        <v>23</v>
      </c>
      <c r="J165" s="1">
        <v>4</v>
      </c>
      <c r="K165" s="2">
        <v>27044.62</v>
      </c>
      <c r="L165" s="1">
        <v>0</v>
      </c>
      <c r="M165" s="1">
        <v>0.71599999999999997</v>
      </c>
      <c r="N165" s="1">
        <v>5</v>
      </c>
      <c r="O165" s="3" t="s">
        <v>21</v>
      </c>
    </row>
    <row r="166" spans="1:15" x14ac:dyDescent="0.3">
      <c r="A166" s="1" t="s">
        <v>357</v>
      </c>
      <c r="B166" s="1" t="s">
        <v>358</v>
      </c>
      <c r="C166" s="2">
        <v>4559.97</v>
      </c>
      <c r="D166" s="1" t="s">
        <v>24</v>
      </c>
      <c r="E166" s="1" t="s">
        <v>25</v>
      </c>
      <c r="F166" s="1" t="s">
        <v>19</v>
      </c>
      <c r="G166" s="1" t="s">
        <v>20</v>
      </c>
      <c r="H166" s="1">
        <v>990</v>
      </c>
      <c r="I166" s="1">
        <v>4</v>
      </c>
      <c r="J166" s="1">
        <v>1</v>
      </c>
      <c r="K166" s="2">
        <v>23733.63</v>
      </c>
      <c r="L166" s="1">
        <v>0</v>
      </c>
      <c r="M166" s="1">
        <v>0.88300000000000001</v>
      </c>
      <c r="N166" s="1">
        <v>2</v>
      </c>
      <c r="O166" s="3" t="s">
        <v>21</v>
      </c>
    </row>
    <row r="167" spans="1:15" x14ac:dyDescent="0.3">
      <c r="A167" s="1" t="s">
        <v>359</v>
      </c>
      <c r="B167" s="1" t="s">
        <v>360</v>
      </c>
      <c r="C167" s="2">
        <v>41773.360000000001</v>
      </c>
      <c r="D167" s="1" t="s">
        <v>17</v>
      </c>
      <c r="E167" s="1" t="s">
        <v>25</v>
      </c>
      <c r="F167" s="1" t="s">
        <v>30</v>
      </c>
      <c r="G167" s="1" t="s">
        <v>20</v>
      </c>
      <c r="H167" s="1">
        <v>1136</v>
      </c>
      <c r="I167" s="1">
        <v>3</v>
      </c>
      <c r="J167" s="1">
        <v>1</v>
      </c>
      <c r="K167" s="2">
        <v>12950.77</v>
      </c>
      <c r="L167" s="1">
        <v>0</v>
      </c>
      <c r="M167" s="1">
        <v>0.59099999999999997</v>
      </c>
      <c r="N167" s="1">
        <v>2</v>
      </c>
      <c r="O167" s="4" t="s">
        <v>1936</v>
      </c>
    </row>
    <row r="168" spans="1:15" x14ac:dyDescent="0.3">
      <c r="A168" s="1" t="s">
        <v>361</v>
      </c>
      <c r="B168" s="1" t="s">
        <v>362</v>
      </c>
      <c r="C168" s="2">
        <v>16072.96</v>
      </c>
      <c r="D168" s="1" t="s">
        <v>17</v>
      </c>
      <c r="E168" s="1" t="s">
        <v>25</v>
      </c>
      <c r="F168" s="1" t="s">
        <v>26</v>
      </c>
      <c r="G168" s="1" t="s">
        <v>36</v>
      </c>
      <c r="H168" s="1">
        <v>235</v>
      </c>
      <c r="I168" s="1">
        <v>18</v>
      </c>
      <c r="J168" s="1">
        <v>3</v>
      </c>
      <c r="K168" s="2">
        <v>25230.3</v>
      </c>
      <c r="L168" s="1">
        <v>0</v>
      </c>
      <c r="M168" s="1">
        <v>0.38900000000000001</v>
      </c>
      <c r="N168" s="1">
        <v>5</v>
      </c>
      <c r="O168" s="3" t="s">
        <v>21</v>
      </c>
    </row>
    <row r="169" spans="1:15" x14ac:dyDescent="0.3">
      <c r="A169" s="1" t="s">
        <v>363</v>
      </c>
      <c r="B169" s="1" t="s">
        <v>364</v>
      </c>
      <c r="C169" s="2">
        <v>9366.6</v>
      </c>
      <c r="D169" s="1" t="s">
        <v>51</v>
      </c>
      <c r="E169" s="1" t="s">
        <v>39</v>
      </c>
      <c r="F169" s="1" t="s">
        <v>19</v>
      </c>
      <c r="G169" s="1" t="s">
        <v>46</v>
      </c>
      <c r="H169" s="1">
        <v>362</v>
      </c>
      <c r="I169" s="1">
        <v>14</v>
      </c>
      <c r="J169" s="1">
        <v>1</v>
      </c>
      <c r="K169" s="2">
        <v>8219.41</v>
      </c>
      <c r="L169" s="1">
        <v>0</v>
      </c>
      <c r="M169" s="1">
        <v>0.18</v>
      </c>
      <c r="N169" s="1">
        <v>7</v>
      </c>
      <c r="O169" s="4" t="s">
        <v>1936</v>
      </c>
    </row>
    <row r="170" spans="1:15" x14ac:dyDescent="0.3">
      <c r="A170" s="1" t="s">
        <v>365</v>
      </c>
      <c r="B170" s="1" t="s">
        <v>366</v>
      </c>
      <c r="C170" s="2">
        <v>2086.7199999999998</v>
      </c>
      <c r="D170" s="1" t="s">
        <v>24</v>
      </c>
      <c r="E170" s="1" t="s">
        <v>29</v>
      </c>
      <c r="F170" s="1" t="s">
        <v>26</v>
      </c>
      <c r="G170" s="1" t="s">
        <v>20</v>
      </c>
      <c r="H170" s="1">
        <v>1193</v>
      </c>
      <c r="I170" s="1">
        <v>22</v>
      </c>
      <c r="J170" s="1">
        <v>2</v>
      </c>
      <c r="K170" s="2">
        <v>20153.439999999999</v>
      </c>
      <c r="L170" s="1">
        <v>0</v>
      </c>
      <c r="M170" s="1">
        <v>0.93200000000000005</v>
      </c>
      <c r="N170" s="1">
        <v>1</v>
      </c>
      <c r="O170" s="3" t="s">
        <v>21</v>
      </c>
    </row>
    <row r="171" spans="1:15" x14ac:dyDescent="0.3">
      <c r="A171" s="1" t="s">
        <v>367</v>
      </c>
      <c r="B171" s="1" t="s">
        <v>368</v>
      </c>
      <c r="C171" s="2">
        <v>29565.1</v>
      </c>
      <c r="D171" s="1" t="s">
        <v>24</v>
      </c>
      <c r="E171" s="1" t="s">
        <v>39</v>
      </c>
      <c r="F171" s="1" t="s">
        <v>19</v>
      </c>
      <c r="G171" s="1" t="s">
        <v>20</v>
      </c>
      <c r="H171" s="1">
        <v>1437</v>
      </c>
      <c r="I171" s="1">
        <v>6</v>
      </c>
      <c r="J171" s="1">
        <v>1</v>
      </c>
      <c r="K171" s="2">
        <v>3525.99</v>
      </c>
      <c r="L171" s="1">
        <v>0</v>
      </c>
      <c r="M171" s="1">
        <v>0.752</v>
      </c>
      <c r="N171" s="1">
        <v>3</v>
      </c>
      <c r="O171" s="3" t="s">
        <v>21</v>
      </c>
    </row>
    <row r="172" spans="1:15" x14ac:dyDescent="0.3">
      <c r="A172" s="1" t="s">
        <v>369</v>
      </c>
      <c r="B172" s="1" t="s">
        <v>370</v>
      </c>
      <c r="C172" s="2">
        <v>33894.339999999997</v>
      </c>
      <c r="D172" s="1" t="s">
        <v>24</v>
      </c>
      <c r="E172" s="1" t="s">
        <v>29</v>
      </c>
      <c r="F172" s="1" t="s">
        <v>26</v>
      </c>
      <c r="G172" s="1" t="s">
        <v>36</v>
      </c>
      <c r="H172" s="1">
        <v>1740</v>
      </c>
      <c r="I172" s="1">
        <v>21</v>
      </c>
      <c r="J172" s="1">
        <v>4</v>
      </c>
      <c r="K172" s="2">
        <v>25986.46</v>
      </c>
      <c r="L172" s="1">
        <v>0</v>
      </c>
      <c r="M172" s="1">
        <v>0.246</v>
      </c>
      <c r="N172" s="1">
        <v>1</v>
      </c>
      <c r="O172" s="3" t="s">
        <v>21</v>
      </c>
    </row>
    <row r="173" spans="1:15" x14ac:dyDescent="0.3">
      <c r="A173" s="1" t="s">
        <v>371</v>
      </c>
      <c r="B173" s="1" t="s">
        <v>372</v>
      </c>
      <c r="C173" s="2">
        <v>878.56</v>
      </c>
      <c r="D173" s="1" t="s">
        <v>51</v>
      </c>
      <c r="E173" s="1" t="s">
        <v>18</v>
      </c>
      <c r="F173" s="1" t="s">
        <v>19</v>
      </c>
      <c r="G173" s="1" t="s">
        <v>31</v>
      </c>
      <c r="H173" s="1">
        <v>1357</v>
      </c>
      <c r="I173" s="1">
        <v>2</v>
      </c>
      <c r="J173" s="1">
        <v>4</v>
      </c>
      <c r="K173" s="2">
        <v>21910.04</v>
      </c>
      <c r="L173" s="1">
        <v>0</v>
      </c>
      <c r="M173" s="1">
        <v>0.151</v>
      </c>
      <c r="N173" s="1">
        <v>8</v>
      </c>
      <c r="O173" s="3" t="s">
        <v>21</v>
      </c>
    </row>
    <row r="174" spans="1:15" x14ac:dyDescent="0.3">
      <c r="A174" s="1" t="s">
        <v>373</v>
      </c>
      <c r="B174" s="1" t="s">
        <v>374</v>
      </c>
      <c r="C174" s="2">
        <v>25629.05</v>
      </c>
      <c r="D174" s="1" t="s">
        <v>24</v>
      </c>
      <c r="E174" s="1" t="s">
        <v>39</v>
      </c>
      <c r="F174" s="1" t="s">
        <v>26</v>
      </c>
      <c r="G174" s="1" t="s">
        <v>46</v>
      </c>
      <c r="H174" s="1">
        <v>154</v>
      </c>
      <c r="I174" s="1">
        <v>15</v>
      </c>
      <c r="J174" s="1">
        <v>2</v>
      </c>
      <c r="K174" s="2">
        <v>4661.78</v>
      </c>
      <c r="L174" s="1">
        <v>0</v>
      </c>
      <c r="M174" s="1">
        <v>4.9000000000000002E-2</v>
      </c>
      <c r="N174" s="1">
        <v>2</v>
      </c>
      <c r="O174" s="3" t="s">
        <v>21</v>
      </c>
    </row>
    <row r="175" spans="1:15" x14ac:dyDescent="0.3">
      <c r="A175" s="1" t="s">
        <v>375</v>
      </c>
      <c r="B175" s="1" t="s">
        <v>376</v>
      </c>
      <c r="C175" s="2">
        <v>11363.46</v>
      </c>
      <c r="D175" s="1" t="s">
        <v>24</v>
      </c>
      <c r="E175" s="1" t="s">
        <v>29</v>
      </c>
      <c r="F175" s="1" t="s">
        <v>30</v>
      </c>
      <c r="G175" s="1" t="s">
        <v>20</v>
      </c>
      <c r="H175" s="1">
        <v>1787</v>
      </c>
      <c r="I175" s="1">
        <v>14</v>
      </c>
      <c r="J175" s="1">
        <v>4</v>
      </c>
      <c r="K175" s="2">
        <v>737.9</v>
      </c>
      <c r="L175" s="1">
        <v>0</v>
      </c>
      <c r="M175" s="1">
        <v>0.191</v>
      </c>
      <c r="N175" s="1">
        <v>6</v>
      </c>
      <c r="O175" s="3" t="s">
        <v>21</v>
      </c>
    </row>
    <row r="176" spans="1:15" x14ac:dyDescent="0.3">
      <c r="A176" s="1" t="s">
        <v>377</v>
      </c>
      <c r="B176" s="1" t="s">
        <v>378</v>
      </c>
      <c r="C176" s="2">
        <v>32276.38</v>
      </c>
      <c r="D176" s="1" t="s">
        <v>24</v>
      </c>
      <c r="E176" s="1" t="s">
        <v>18</v>
      </c>
      <c r="F176" s="1" t="s">
        <v>26</v>
      </c>
      <c r="G176" s="1" t="s">
        <v>56</v>
      </c>
      <c r="H176" s="1">
        <v>1498</v>
      </c>
      <c r="I176" s="1">
        <v>17</v>
      </c>
      <c r="J176" s="1">
        <v>4</v>
      </c>
      <c r="K176" s="2">
        <v>11757.05</v>
      </c>
      <c r="L176" s="1">
        <v>0</v>
      </c>
      <c r="M176" s="1">
        <v>0.73199999999999998</v>
      </c>
      <c r="N176" s="1">
        <v>6</v>
      </c>
      <c r="O176" s="3" t="s">
        <v>21</v>
      </c>
    </row>
    <row r="177" spans="1:15" x14ac:dyDescent="0.3">
      <c r="A177" s="1" t="s">
        <v>379</v>
      </c>
      <c r="B177" s="1" t="s">
        <v>380</v>
      </c>
      <c r="C177" s="2">
        <v>8759.6</v>
      </c>
      <c r="D177" s="1" t="s">
        <v>24</v>
      </c>
      <c r="E177" s="1" t="s">
        <v>18</v>
      </c>
      <c r="F177" s="1" t="s">
        <v>30</v>
      </c>
      <c r="G177" s="1" t="s">
        <v>36</v>
      </c>
      <c r="H177" s="1">
        <v>924</v>
      </c>
      <c r="I177" s="1">
        <v>2</v>
      </c>
      <c r="J177" s="1">
        <v>4</v>
      </c>
      <c r="K177" s="2">
        <v>20290.650000000001</v>
      </c>
      <c r="L177" s="1">
        <v>0</v>
      </c>
      <c r="M177" s="1">
        <v>0.63</v>
      </c>
      <c r="N177" s="1">
        <v>9</v>
      </c>
      <c r="O177" s="3" t="s">
        <v>21</v>
      </c>
    </row>
    <row r="178" spans="1:15" x14ac:dyDescent="0.3">
      <c r="A178" s="1" t="s">
        <v>381</v>
      </c>
      <c r="B178" s="1" t="s">
        <v>382</v>
      </c>
      <c r="C178" s="2">
        <v>34562.339999999997</v>
      </c>
      <c r="D178" s="1" t="s">
        <v>51</v>
      </c>
      <c r="E178" s="1" t="s">
        <v>39</v>
      </c>
      <c r="F178" s="1" t="s">
        <v>30</v>
      </c>
      <c r="G178" s="1" t="s">
        <v>31</v>
      </c>
      <c r="H178" s="1">
        <v>1165</v>
      </c>
      <c r="I178" s="1">
        <v>13</v>
      </c>
      <c r="J178" s="1">
        <v>0</v>
      </c>
      <c r="K178" s="2">
        <v>8566.11</v>
      </c>
      <c r="L178" s="1">
        <v>0</v>
      </c>
      <c r="M178" s="1">
        <v>0.96699999999999997</v>
      </c>
      <c r="N178" s="1">
        <v>6</v>
      </c>
      <c r="O178" s="3" t="s">
        <v>21</v>
      </c>
    </row>
    <row r="179" spans="1:15" x14ac:dyDescent="0.3">
      <c r="A179" s="1" t="s">
        <v>383</v>
      </c>
      <c r="B179" s="1" t="s">
        <v>384</v>
      </c>
      <c r="C179" s="2">
        <v>19367.43</v>
      </c>
      <c r="D179" s="1" t="s">
        <v>51</v>
      </c>
      <c r="E179" s="1" t="s">
        <v>29</v>
      </c>
      <c r="F179" s="1" t="s">
        <v>30</v>
      </c>
      <c r="G179" s="1" t="s">
        <v>31</v>
      </c>
      <c r="H179" s="1">
        <v>1126</v>
      </c>
      <c r="I179" s="1">
        <v>0</v>
      </c>
      <c r="J179" s="1">
        <v>2</v>
      </c>
      <c r="K179" s="2">
        <v>29200.33</v>
      </c>
      <c r="L179" s="1">
        <v>0</v>
      </c>
      <c r="M179" s="1">
        <v>0.32200000000000001</v>
      </c>
      <c r="N179" s="1">
        <v>6</v>
      </c>
      <c r="O179" s="3" t="s">
        <v>21</v>
      </c>
    </row>
    <row r="180" spans="1:15" x14ac:dyDescent="0.3">
      <c r="A180" s="1" t="s">
        <v>385</v>
      </c>
      <c r="B180" s="1" t="s">
        <v>386</v>
      </c>
      <c r="C180" s="2">
        <v>46839.66</v>
      </c>
      <c r="D180" s="1" t="s">
        <v>24</v>
      </c>
      <c r="E180" s="1" t="s">
        <v>18</v>
      </c>
      <c r="F180" s="1" t="s">
        <v>26</v>
      </c>
      <c r="G180" s="1" t="s">
        <v>36</v>
      </c>
      <c r="H180" s="1">
        <v>282</v>
      </c>
      <c r="I180" s="1">
        <v>6</v>
      </c>
      <c r="J180" s="1">
        <v>2</v>
      </c>
      <c r="K180" s="2">
        <v>28046.97</v>
      </c>
      <c r="L180" s="1">
        <v>0</v>
      </c>
      <c r="M180" s="1">
        <v>0.78700000000000003</v>
      </c>
      <c r="N180" s="1">
        <v>1</v>
      </c>
      <c r="O180" s="3" t="s">
        <v>21</v>
      </c>
    </row>
    <row r="181" spans="1:15" x14ac:dyDescent="0.3">
      <c r="A181" s="1" t="s">
        <v>387</v>
      </c>
      <c r="B181" s="1" t="s">
        <v>388</v>
      </c>
      <c r="C181" s="2">
        <v>6919.17</v>
      </c>
      <c r="D181" s="1" t="s">
        <v>24</v>
      </c>
      <c r="E181" s="1" t="s">
        <v>39</v>
      </c>
      <c r="F181" s="1" t="s">
        <v>26</v>
      </c>
      <c r="G181" s="1" t="s">
        <v>31</v>
      </c>
      <c r="H181" s="1">
        <v>1737</v>
      </c>
      <c r="I181" s="1">
        <v>1</v>
      </c>
      <c r="J181" s="1">
        <v>1</v>
      </c>
      <c r="K181" s="2">
        <v>17978.419999999998</v>
      </c>
      <c r="L181" s="1">
        <v>0</v>
      </c>
      <c r="M181" s="1">
        <v>0.12</v>
      </c>
      <c r="N181" s="1">
        <v>7</v>
      </c>
      <c r="O181" s="3" t="s">
        <v>21</v>
      </c>
    </row>
    <row r="182" spans="1:15" x14ac:dyDescent="0.3">
      <c r="A182" s="1" t="s">
        <v>389</v>
      </c>
      <c r="B182" s="1" t="s">
        <v>390</v>
      </c>
      <c r="C182" s="2">
        <v>17086.259999999998</v>
      </c>
      <c r="D182" s="1" t="s">
        <v>17</v>
      </c>
      <c r="E182" s="1" t="s">
        <v>18</v>
      </c>
      <c r="F182" s="1" t="s">
        <v>30</v>
      </c>
      <c r="G182" s="1" t="s">
        <v>20</v>
      </c>
      <c r="H182" s="1">
        <v>543</v>
      </c>
      <c r="I182" s="1">
        <v>9</v>
      </c>
      <c r="J182" s="1">
        <v>2</v>
      </c>
      <c r="K182" s="2">
        <v>9536.41</v>
      </c>
      <c r="L182" s="1">
        <v>0</v>
      </c>
      <c r="M182" s="1">
        <v>0.56299999999999994</v>
      </c>
      <c r="N182" s="1">
        <v>6</v>
      </c>
      <c r="O182" s="3" t="s">
        <v>21</v>
      </c>
    </row>
    <row r="183" spans="1:15" x14ac:dyDescent="0.3">
      <c r="A183" s="1" t="s">
        <v>391</v>
      </c>
      <c r="B183" s="1" t="s">
        <v>392</v>
      </c>
      <c r="C183" s="2">
        <v>5718</v>
      </c>
      <c r="D183" s="1" t="s">
        <v>17</v>
      </c>
      <c r="E183" s="1" t="s">
        <v>25</v>
      </c>
      <c r="F183" s="1" t="s">
        <v>19</v>
      </c>
      <c r="G183" s="1" t="s">
        <v>31</v>
      </c>
      <c r="H183" s="1">
        <v>1227</v>
      </c>
      <c r="I183" s="1">
        <v>23</v>
      </c>
      <c r="J183" s="1">
        <v>3</v>
      </c>
      <c r="K183" s="2">
        <v>26898.45</v>
      </c>
      <c r="L183" s="1">
        <v>0</v>
      </c>
      <c r="M183" s="1">
        <v>0.46700000000000003</v>
      </c>
      <c r="N183" s="1">
        <v>8</v>
      </c>
      <c r="O183" s="3" t="s">
        <v>21</v>
      </c>
    </row>
    <row r="184" spans="1:15" x14ac:dyDescent="0.3">
      <c r="A184" s="1" t="s">
        <v>393</v>
      </c>
      <c r="B184" s="1" t="s">
        <v>394</v>
      </c>
      <c r="C184" s="2">
        <v>46238.45</v>
      </c>
      <c r="D184" s="1" t="s">
        <v>24</v>
      </c>
      <c r="E184" s="1" t="s">
        <v>39</v>
      </c>
      <c r="F184" s="1" t="s">
        <v>26</v>
      </c>
      <c r="G184" s="1" t="s">
        <v>46</v>
      </c>
      <c r="H184" s="1">
        <v>1203</v>
      </c>
      <c r="I184" s="1">
        <v>15</v>
      </c>
      <c r="J184" s="1">
        <v>2</v>
      </c>
      <c r="K184" s="2">
        <v>24123.78</v>
      </c>
      <c r="L184" s="1">
        <v>0</v>
      </c>
      <c r="M184" s="1">
        <v>0.83799999999999997</v>
      </c>
      <c r="N184" s="1">
        <v>1</v>
      </c>
      <c r="O184" s="3" t="s">
        <v>21</v>
      </c>
    </row>
    <row r="185" spans="1:15" x14ac:dyDescent="0.3">
      <c r="A185" s="1" t="s">
        <v>395</v>
      </c>
      <c r="B185" s="1" t="s">
        <v>396</v>
      </c>
      <c r="C185" s="2">
        <v>43873.1</v>
      </c>
      <c r="D185" s="1" t="s">
        <v>24</v>
      </c>
      <c r="E185" s="1" t="s">
        <v>18</v>
      </c>
      <c r="F185" s="1" t="s">
        <v>26</v>
      </c>
      <c r="G185" s="1" t="s">
        <v>56</v>
      </c>
      <c r="H185" s="1">
        <v>469</v>
      </c>
      <c r="I185" s="1">
        <v>11</v>
      </c>
      <c r="J185" s="1">
        <v>3</v>
      </c>
      <c r="K185" s="2">
        <v>2676.02</v>
      </c>
      <c r="L185" s="1">
        <v>0</v>
      </c>
      <c r="M185" s="1">
        <v>0.70199999999999996</v>
      </c>
      <c r="N185" s="1">
        <v>8</v>
      </c>
      <c r="O185" s="3" t="s">
        <v>21</v>
      </c>
    </row>
    <row r="186" spans="1:15" x14ac:dyDescent="0.3">
      <c r="A186" s="1" t="s">
        <v>397</v>
      </c>
      <c r="B186" s="1" t="s">
        <v>398</v>
      </c>
      <c r="C186" s="2">
        <v>12934.18</v>
      </c>
      <c r="D186" s="1" t="s">
        <v>17</v>
      </c>
      <c r="E186" s="1" t="s">
        <v>39</v>
      </c>
      <c r="F186" s="1" t="s">
        <v>26</v>
      </c>
      <c r="G186" s="1" t="s">
        <v>20</v>
      </c>
      <c r="H186" s="1">
        <v>950</v>
      </c>
      <c r="I186" s="1">
        <v>17</v>
      </c>
      <c r="J186" s="1">
        <v>4</v>
      </c>
      <c r="K186" s="2">
        <v>14342.05</v>
      </c>
      <c r="L186" s="1">
        <v>0</v>
      </c>
      <c r="M186" s="1">
        <v>0.19400000000000001</v>
      </c>
      <c r="N186" s="1">
        <v>8</v>
      </c>
      <c r="O186" s="3" t="s">
        <v>21</v>
      </c>
    </row>
    <row r="187" spans="1:15" x14ac:dyDescent="0.3">
      <c r="A187" s="1" t="s">
        <v>399</v>
      </c>
      <c r="B187" s="1" t="s">
        <v>400</v>
      </c>
      <c r="C187" s="2">
        <v>33016.199999999997</v>
      </c>
      <c r="D187" s="1" t="s">
        <v>17</v>
      </c>
      <c r="E187" s="1" t="s">
        <v>39</v>
      </c>
      <c r="F187" s="1" t="s">
        <v>26</v>
      </c>
      <c r="G187" s="1" t="s">
        <v>36</v>
      </c>
      <c r="H187" s="1">
        <v>1044</v>
      </c>
      <c r="I187" s="1">
        <v>5</v>
      </c>
      <c r="J187" s="1">
        <v>3</v>
      </c>
      <c r="K187" s="2">
        <v>29438.33</v>
      </c>
      <c r="L187" s="1">
        <v>0</v>
      </c>
      <c r="M187" s="1">
        <v>0.98399999999999999</v>
      </c>
      <c r="N187" s="1">
        <v>1</v>
      </c>
      <c r="O187" s="3" t="s">
        <v>21</v>
      </c>
    </row>
    <row r="188" spans="1:15" x14ac:dyDescent="0.3">
      <c r="A188" s="1" t="s">
        <v>401</v>
      </c>
      <c r="B188" s="1" t="s">
        <v>402</v>
      </c>
      <c r="C188" s="2">
        <v>40870.25</v>
      </c>
      <c r="D188" s="1" t="s">
        <v>24</v>
      </c>
      <c r="E188" s="1" t="s">
        <v>29</v>
      </c>
      <c r="F188" s="1" t="s">
        <v>30</v>
      </c>
      <c r="G188" s="1" t="s">
        <v>56</v>
      </c>
      <c r="H188" s="1">
        <v>190</v>
      </c>
      <c r="I188" s="1">
        <v>16</v>
      </c>
      <c r="J188" s="1">
        <v>0</v>
      </c>
      <c r="K188" s="2">
        <v>13671.77</v>
      </c>
      <c r="L188" s="1">
        <v>0</v>
      </c>
      <c r="M188" s="1">
        <v>0.82299999999999995</v>
      </c>
      <c r="N188" s="1">
        <v>7</v>
      </c>
      <c r="O188" s="3" t="s">
        <v>21</v>
      </c>
    </row>
    <row r="189" spans="1:15" x14ac:dyDescent="0.3">
      <c r="A189" s="1" t="s">
        <v>403</v>
      </c>
      <c r="B189" s="1" t="s">
        <v>404</v>
      </c>
      <c r="C189" s="2">
        <v>27782.28</v>
      </c>
      <c r="D189" s="1" t="s">
        <v>51</v>
      </c>
      <c r="E189" s="1" t="s">
        <v>29</v>
      </c>
      <c r="F189" s="1" t="s">
        <v>19</v>
      </c>
      <c r="G189" s="1" t="s">
        <v>20</v>
      </c>
      <c r="H189" s="1">
        <v>1265</v>
      </c>
      <c r="I189" s="1">
        <v>7</v>
      </c>
      <c r="J189" s="1">
        <v>4</v>
      </c>
      <c r="K189" s="2">
        <v>27993.96</v>
      </c>
      <c r="L189" s="1">
        <v>0</v>
      </c>
      <c r="M189" s="1">
        <v>0.35499999999999998</v>
      </c>
      <c r="N189" s="1">
        <v>7</v>
      </c>
      <c r="O189" s="3" t="s">
        <v>21</v>
      </c>
    </row>
    <row r="190" spans="1:15" x14ac:dyDescent="0.3">
      <c r="A190" s="1" t="s">
        <v>405</v>
      </c>
      <c r="B190" s="1" t="s">
        <v>406</v>
      </c>
      <c r="C190" s="2">
        <v>26506.05</v>
      </c>
      <c r="D190" s="1" t="s">
        <v>51</v>
      </c>
      <c r="E190" s="1" t="s">
        <v>18</v>
      </c>
      <c r="F190" s="1" t="s">
        <v>19</v>
      </c>
      <c r="G190" s="1" t="s">
        <v>56</v>
      </c>
      <c r="H190" s="1">
        <v>1989</v>
      </c>
      <c r="I190" s="1">
        <v>20</v>
      </c>
      <c r="J190" s="1">
        <v>3</v>
      </c>
      <c r="K190" s="2">
        <v>29320.95</v>
      </c>
      <c r="L190" s="1">
        <v>0</v>
      </c>
      <c r="M190" s="1">
        <v>0.82599999999999996</v>
      </c>
      <c r="N190" s="1">
        <v>7</v>
      </c>
      <c r="O190" s="3" t="s">
        <v>21</v>
      </c>
    </row>
    <row r="191" spans="1:15" x14ac:dyDescent="0.3">
      <c r="A191" s="1" t="s">
        <v>407</v>
      </c>
      <c r="B191" s="1" t="s">
        <v>408</v>
      </c>
      <c r="C191" s="2">
        <v>12130.52</v>
      </c>
      <c r="D191" s="1" t="s">
        <v>24</v>
      </c>
      <c r="E191" s="1" t="s">
        <v>39</v>
      </c>
      <c r="F191" s="1" t="s">
        <v>19</v>
      </c>
      <c r="G191" s="1" t="s">
        <v>31</v>
      </c>
      <c r="H191" s="1">
        <v>38</v>
      </c>
      <c r="I191" s="1">
        <v>8</v>
      </c>
      <c r="J191" s="1">
        <v>4</v>
      </c>
      <c r="K191" s="2">
        <v>11682.04</v>
      </c>
      <c r="L191" s="1">
        <v>0</v>
      </c>
      <c r="M191" s="1">
        <v>0.95699999999999996</v>
      </c>
      <c r="N191" s="1">
        <v>3</v>
      </c>
      <c r="O191" s="3" t="s">
        <v>21</v>
      </c>
    </row>
    <row r="192" spans="1:15" x14ac:dyDescent="0.3">
      <c r="A192" s="1" t="s">
        <v>409</v>
      </c>
      <c r="B192" s="1" t="s">
        <v>410</v>
      </c>
      <c r="C192" s="2">
        <v>4700.4799999999996</v>
      </c>
      <c r="D192" s="1" t="s">
        <v>24</v>
      </c>
      <c r="E192" s="1" t="s">
        <v>39</v>
      </c>
      <c r="F192" s="1" t="s">
        <v>19</v>
      </c>
      <c r="G192" s="1" t="s">
        <v>36</v>
      </c>
      <c r="H192" s="1">
        <v>541</v>
      </c>
      <c r="I192" s="1">
        <v>18</v>
      </c>
      <c r="J192" s="1">
        <v>0</v>
      </c>
      <c r="K192" s="2">
        <v>28940.3</v>
      </c>
      <c r="L192" s="1">
        <v>0</v>
      </c>
      <c r="M192" s="1">
        <v>0.89</v>
      </c>
      <c r="N192" s="1">
        <v>3</v>
      </c>
      <c r="O192" s="3" t="s">
        <v>21</v>
      </c>
    </row>
    <row r="193" spans="1:15" x14ac:dyDescent="0.3">
      <c r="A193" s="1" t="s">
        <v>411</v>
      </c>
      <c r="B193" s="1" t="s">
        <v>412</v>
      </c>
      <c r="C193" s="2">
        <v>44865.93</v>
      </c>
      <c r="D193" s="1" t="s">
        <v>17</v>
      </c>
      <c r="E193" s="1" t="s">
        <v>25</v>
      </c>
      <c r="F193" s="1" t="s">
        <v>30</v>
      </c>
      <c r="G193" s="1" t="s">
        <v>36</v>
      </c>
      <c r="H193" s="1">
        <v>1038</v>
      </c>
      <c r="I193" s="1">
        <v>1</v>
      </c>
      <c r="J193" s="1">
        <v>4</v>
      </c>
      <c r="K193" s="2">
        <v>4224.42</v>
      </c>
      <c r="L193" s="1">
        <v>0</v>
      </c>
      <c r="M193" s="1">
        <v>0.55600000000000005</v>
      </c>
      <c r="N193" s="1">
        <v>8</v>
      </c>
      <c r="O193" s="3" t="s">
        <v>21</v>
      </c>
    </row>
    <row r="194" spans="1:15" x14ac:dyDescent="0.3">
      <c r="A194" s="1" t="s">
        <v>413</v>
      </c>
      <c r="B194" s="1" t="s">
        <v>414</v>
      </c>
      <c r="C194" s="2">
        <v>45025.88</v>
      </c>
      <c r="D194" s="1" t="s">
        <v>17</v>
      </c>
      <c r="E194" s="1" t="s">
        <v>39</v>
      </c>
      <c r="F194" s="1" t="s">
        <v>26</v>
      </c>
      <c r="G194" s="1" t="s">
        <v>46</v>
      </c>
      <c r="H194" s="1">
        <v>1954</v>
      </c>
      <c r="I194" s="1">
        <v>6</v>
      </c>
      <c r="J194" s="1">
        <v>4</v>
      </c>
      <c r="K194" s="2">
        <v>4887.57</v>
      </c>
      <c r="L194" s="1">
        <v>0</v>
      </c>
      <c r="M194" s="1">
        <v>0.57699999999999996</v>
      </c>
      <c r="N194" s="1">
        <v>8</v>
      </c>
      <c r="O194" s="3" t="s">
        <v>21</v>
      </c>
    </row>
    <row r="195" spans="1:15" x14ac:dyDescent="0.3">
      <c r="A195" s="1" t="s">
        <v>415</v>
      </c>
      <c r="B195" s="1" t="s">
        <v>416</v>
      </c>
      <c r="C195" s="2">
        <v>31673.42</v>
      </c>
      <c r="D195" s="1" t="s">
        <v>51</v>
      </c>
      <c r="E195" s="1" t="s">
        <v>29</v>
      </c>
      <c r="F195" s="1" t="s">
        <v>26</v>
      </c>
      <c r="G195" s="1" t="s">
        <v>31</v>
      </c>
      <c r="H195" s="1">
        <v>1579</v>
      </c>
      <c r="I195" s="1">
        <v>10</v>
      </c>
      <c r="J195" s="1">
        <v>2</v>
      </c>
      <c r="K195" s="2">
        <v>8368.65</v>
      </c>
      <c r="L195" s="1">
        <v>0</v>
      </c>
      <c r="M195" s="1">
        <v>0.107</v>
      </c>
      <c r="N195" s="1">
        <v>8</v>
      </c>
      <c r="O195" s="4" t="s">
        <v>1936</v>
      </c>
    </row>
    <row r="196" spans="1:15" x14ac:dyDescent="0.3">
      <c r="A196" s="1" t="s">
        <v>417</v>
      </c>
      <c r="B196" s="1" t="s">
        <v>418</v>
      </c>
      <c r="C196" s="2">
        <v>16984.54</v>
      </c>
      <c r="D196" s="1" t="s">
        <v>24</v>
      </c>
      <c r="E196" s="1" t="s">
        <v>39</v>
      </c>
      <c r="F196" s="1" t="s">
        <v>30</v>
      </c>
      <c r="G196" s="1" t="s">
        <v>46</v>
      </c>
      <c r="H196" s="1">
        <v>149</v>
      </c>
      <c r="I196" s="1">
        <v>22</v>
      </c>
      <c r="J196" s="1">
        <v>1</v>
      </c>
      <c r="K196" s="2">
        <v>14079.93</v>
      </c>
      <c r="L196" s="1">
        <v>0</v>
      </c>
      <c r="M196" s="1">
        <v>0.16500000000000001</v>
      </c>
      <c r="N196" s="1">
        <v>3</v>
      </c>
      <c r="O196" s="3" t="s">
        <v>21</v>
      </c>
    </row>
    <row r="197" spans="1:15" x14ac:dyDescent="0.3">
      <c r="A197" s="1" t="s">
        <v>419</v>
      </c>
      <c r="B197" s="1" t="s">
        <v>420</v>
      </c>
      <c r="C197" s="2">
        <v>17493.02</v>
      </c>
      <c r="D197" s="1" t="s">
        <v>17</v>
      </c>
      <c r="E197" s="1" t="s">
        <v>29</v>
      </c>
      <c r="F197" s="1" t="s">
        <v>26</v>
      </c>
      <c r="G197" s="1" t="s">
        <v>46</v>
      </c>
      <c r="H197" s="1">
        <v>1061</v>
      </c>
      <c r="I197" s="1">
        <v>12</v>
      </c>
      <c r="J197" s="1">
        <v>3</v>
      </c>
      <c r="K197" s="2">
        <v>5512.64</v>
      </c>
      <c r="L197" s="1">
        <v>0</v>
      </c>
      <c r="M197" s="1">
        <v>0.98299999999999998</v>
      </c>
      <c r="N197" s="1">
        <v>4</v>
      </c>
      <c r="O197" s="3" t="s">
        <v>21</v>
      </c>
    </row>
    <row r="198" spans="1:15" x14ac:dyDescent="0.3">
      <c r="A198" s="1" t="s">
        <v>421</v>
      </c>
      <c r="B198" s="1" t="s">
        <v>422</v>
      </c>
      <c r="C198" s="2">
        <v>36311.49</v>
      </c>
      <c r="D198" s="1" t="s">
        <v>51</v>
      </c>
      <c r="E198" s="1" t="s">
        <v>25</v>
      </c>
      <c r="F198" s="1" t="s">
        <v>30</v>
      </c>
      <c r="G198" s="1" t="s">
        <v>31</v>
      </c>
      <c r="H198" s="1">
        <v>107</v>
      </c>
      <c r="I198" s="1">
        <v>9</v>
      </c>
      <c r="J198" s="1">
        <v>1</v>
      </c>
      <c r="K198" s="2">
        <v>10271.31</v>
      </c>
      <c r="L198" s="1">
        <v>0</v>
      </c>
      <c r="M198" s="1">
        <v>0.77</v>
      </c>
      <c r="N198" s="1">
        <v>2</v>
      </c>
      <c r="O198" s="3" t="s">
        <v>21</v>
      </c>
    </row>
    <row r="199" spans="1:15" x14ac:dyDescent="0.3">
      <c r="A199" s="1" t="s">
        <v>423</v>
      </c>
      <c r="B199" s="1" t="s">
        <v>424</v>
      </c>
      <c r="C199" s="2">
        <v>44860.66</v>
      </c>
      <c r="D199" s="1" t="s">
        <v>51</v>
      </c>
      <c r="E199" s="1" t="s">
        <v>18</v>
      </c>
      <c r="F199" s="1" t="s">
        <v>19</v>
      </c>
      <c r="G199" s="1" t="s">
        <v>20</v>
      </c>
      <c r="H199" s="1">
        <v>271</v>
      </c>
      <c r="I199" s="1">
        <v>14</v>
      </c>
      <c r="J199" s="1">
        <v>0</v>
      </c>
      <c r="K199" s="2">
        <v>3199.23</v>
      </c>
      <c r="L199" s="1">
        <v>0</v>
      </c>
      <c r="M199" s="1">
        <v>2.5999999999999999E-2</v>
      </c>
      <c r="N199" s="1">
        <v>3</v>
      </c>
      <c r="O199" s="3" t="s">
        <v>21</v>
      </c>
    </row>
    <row r="200" spans="1:15" x14ac:dyDescent="0.3">
      <c r="A200" s="1" t="s">
        <v>425</v>
      </c>
      <c r="B200" s="1" t="s">
        <v>426</v>
      </c>
      <c r="C200" s="2">
        <v>44359.97</v>
      </c>
      <c r="D200" s="1" t="s">
        <v>51</v>
      </c>
      <c r="E200" s="1" t="s">
        <v>29</v>
      </c>
      <c r="F200" s="1" t="s">
        <v>30</v>
      </c>
      <c r="G200" s="1" t="s">
        <v>46</v>
      </c>
      <c r="H200" s="1">
        <v>1791</v>
      </c>
      <c r="I200" s="1">
        <v>20</v>
      </c>
      <c r="J200" s="1">
        <v>0</v>
      </c>
      <c r="K200" s="2">
        <v>12957.24</v>
      </c>
      <c r="L200" s="1">
        <v>1</v>
      </c>
      <c r="M200" s="1">
        <v>0.54800000000000004</v>
      </c>
      <c r="N200" s="1">
        <v>5</v>
      </c>
      <c r="O200" s="3" t="s">
        <v>21</v>
      </c>
    </row>
    <row r="201" spans="1:15" x14ac:dyDescent="0.3">
      <c r="A201" s="1" t="s">
        <v>427</v>
      </c>
      <c r="B201" s="1" t="s">
        <v>428</v>
      </c>
      <c r="C201" s="2">
        <v>39004.78</v>
      </c>
      <c r="D201" s="1" t="s">
        <v>17</v>
      </c>
      <c r="E201" s="1" t="s">
        <v>18</v>
      </c>
      <c r="F201" s="1" t="s">
        <v>26</v>
      </c>
      <c r="G201" s="1" t="s">
        <v>56</v>
      </c>
      <c r="H201" s="1">
        <v>28</v>
      </c>
      <c r="I201" s="1">
        <v>6</v>
      </c>
      <c r="J201" s="1">
        <v>4</v>
      </c>
      <c r="K201" s="2">
        <v>24841.61</v>
      </c>
      <c r="L201" s="1">
        <v>0</v>
      </c>
      <c r="M201" s="1">
        <v>0.34499999999999997</v>
      </c>
      <c r="N201" s="1">
        <v>3</v>
      </c>
      <c r="O201" s="3" t="s">
        <v>21</v>
      </c>
    </row>
    <row r="202" spans="1:15" x14ac:dyDescent="0.3">
      <c r="A202" s="1" t="s">
        <v>429</v>
      </c>
      <c r="B202" s="1" t="s">
        <v>430</v>
      </c>
      <c r="C202" s="2">
        <v>32119.48</v>
      </c>
      <c r="D202" s="1" t="s">
        <v>17</v>
      </c>
      <c r="E202" s="1" t="s">
        <v>18</v>
      </c>
      <c r="F202" s="1" t="s">
        <v>26</v>
      </c>
      <c r="G202" s="1" t="s">
        <v>20</v>
      </c>
      <c r="H202" s="1">
        <v>21</v>
      </c>
      <c r="I202" s="1">
        <v>5</v>
      </c>
      <c r="J202" s="1">
        <v>1</v>
      </c>
      <c r="K202" s="2">
        <v>17892.099999999999</v>
      </c>
      <c r="L202" s="1">
        <v>0</v>
      </c>
      <c r="M202" s="1">
        <v>0.312</v>
      </c>
      <c r="N202" s="1">
        <v>4</v>
      </c>
      <c r="O202" s="3" t="s">
        <v>21</v>
      </c>
    </row>
    <row r="203" spans="1:15" x14ac:dyDescent="0.3">
      <c r="A203" s="1" t="s">
        <v>431</v>
      </c>
      <c r="B203" s="1" t="s">
        <v>432</v>
      </c>
      <c r="C203" s="2">
        <v>4252.79</v>
      </c>
      <c r="D203" s="1" t="s">
        <v>24</v>
      </c>
      <c r="E203" s="1" t="s">
        <v>18</v>
      </c>
      <c r="F203" s="1" t="s">
        <v>26</v>
      </c>
      <c r="G203" s="1" t="s">
        <v>31</v>
      </c>
      <c r="H203" s="1">
        <v>546</v>
      </c>
      <c r="I203" s="1">
        <v>11</v>
      </c>
      <c r="J203" s="1">
        <v>3</v>
      </c>
      <c r="K203" s="2">
        <v>24323.759999999998</v>
      </c>
      <c r="L203" s="1">
        <v>0</v>
      </c>
      <c r="M203" s="1">
        <v>0.55700000000000005</v>
      </c>
      <c r="N203" s="1">
        <v>7</v>
      </c>
      <c r="O203" s="3" t="s">
        <v>21</v>
      </c>
    </row>
    <row r="204" spans="1:15" x14ac:dyDescent="0.3">
      <c r="A204" s="1" t="s">
        <v>433</v>
      </c>
      <c r="B204" s="1" t="s">
        <v>434</v>
      </c>
      <c r="C204" s="2">
        <v>8123.35</v>
      </c>
      <c r="D204" s="1" t="s">
        <v>24</v>
      </c>
      <c r="E204" s="1" t="s">
        <v>18</v>
      </c>
      <c r="F204" s="1" t="s">
        <v>19</v>
      </c>
      <c r="G204" s="1" t="s">
        <v>36</v>
      </c>
      <c r="H204" s="1">
        <v>1558</v>
      </c>
      <c r="I204" s="1">
        <v>2</v>
      </c>
      <c r="J204" s="1">
        <v>3</v>
      </c>
      <c r="K204" s="2">
        <v>4157.8100000000004</v>
      </c>
      <c r="L204" s="1">
        <v>1</v>
      </c>
      <c r="M204" s="1">
        <v>0.32</v>
      </c>
      <c r="N204" s="1">
        <v>3</v>
      </c>
      <c r="O204" s="3" t="s">
        <v>21</v>
      </c>
    </row>
    <row r="205" spans="1:15" x14ac:dyDescent="0.3">
      <c r="A205" s="1" t="s">
        <v>435</v>
      </c>
      <c r="B205" s="1" t="s">
        <v>436</v>
      </c>
      <c r="C205" s="2">
        <v>44932.78</v>
      </c>
      <c r="D205" s="1" t="s">
        <v>51</v>
      </c>
      <c r="E205" s="1" t="s">
        <v>29</v>
      </c>
      <c r="F205" s="1" t="s">
        <v>30</v>
      </c>
      <c r="G205" s="1" t="s">
        <v>20</v>
      </c>
      <c r="H205" s="1">
        <v>1498</v>
      </c>
      <c r="I205" s="1">
        <v>15</v>
      </c>
      <c r="J205" s="1">
        <v>4</v>
      </c>
      <c r="K205" s="2">
        <v>12043.13</v>
      </c>
      <c r="L205" s="1">
        <v>0</v>
      </c>
      <c r="M205" s="1">
        <v>0.252</v>
      </c>
      <c r="N205" s="1">
        <v>1</v>
      </c>
      <c r="O205" s="3" t="s">
        <v>21</v>
      </c>
    </row>
    <row r="206" spans="1:15" x14ac:dyDescent="0.3">
      <c r="A206" s="1" t="s">
        <v>437</v>
      </c>
      <c r="B206" s="1" t="s">
        <v>438</v>
      </c>
      <c r="C206" s="2">
        <v>30341.13</v>
      </c>
      <c r="D206" s="1" t="s">
        <v>51</v>
      </c>
      <c r="E206" s="1" t="s">
        <v>25</v>
      </c>
      <c r="F206" s="1" t="s">
        <v>30</v>
      </c>
      <c r="G206" s="1" t="s">
        <v>46</v>
      </c>
      <c r="H206" s="1">
        <v>1621</v>
      </c>
      <c r="I206" s="1">
        <v>19</v>
      </c>
      <c r="J206" s="1">
        <v>3</v>
      </c>
      <c r="K206" s="2">
        <v>1275.76</v>
      </c>
      <c r="L206" s="1">
        <v>0</v>
      </c>
      <c r="M206" s="1">
        <v>0.93799999999999994</v>
      </c>
      <c r="N206" s="1">
        <v>1</v>
      </c>
      <c r="O206" s="3" t="s">
        <v>21</v>
      </c>
    </row>
    <row r="207" spans="1:15" x14ac:dyDescent="0.3">
      <c r="A207" s="1" t="s">
        <v>439</v>
      </c>
      <c r="B207" s="1" t="s">
        <v>440</v>
      </c>
      <c r="C207" s="2">
        <v>509.39</v>
      </c>
      <c r="D207" s="1" t="s">
        <v>17</v>
      </c>
      <c r="E207" s="1" t="s">
        <v>39</v>
      </c>
      <c r="F207" s="1" t="s">
        <v>26</v>
      </c>
      <c r="G207" s="1" t="s">
        <v>56</v>
      </c>
      <c r="H207" s="1">
        <v>268</v>
      </c>
      <c r="I207" s="1">
        <v>8</v>
      </c>
      <c r="J207" s="1">
        <v>2</v>
      </c>
      <c r="K207" s="2">
        <v>11162.37</v>
      </c>
      <c r="L207" s="1">
        <v>0</v>
      </c>
      <c r="M207" s="1">
        <v>0.04</v>
      </c>
      <c r="N207" s="1">
        <v>4</v>
      </c>
      <c r="O207" s="4" t="s">
        <v>1936</v>
      </c>
    </row>
    <row r="208" spans="1:15" x14ac:dyDescent="0.3">
      <c r="A208" s="1" t="s">
        <v>441</v>
      </c>
      <c r="B208" s="1" t="s">
        <v>442</v>
      </c>
      <c r="C208" s="2">
        <v>5118.5</v>
      </c>
      <c r="D208" s="1" t="s">
        <v>17</v>
      </c>
      <c r="E208" s="1" t="s">
        <v>29</v>
      </c>
      <c r="F208" s="1" t="s">
        <v>30</v>
      </c>
      <c r="G208" s="1" t="s">
        <v>31</v>
      </c>
      <c r="H208" s="1">
        <v>33</v>
      </c>
      <c r="I208" s="1">
        <v>9</v>
      </c>
      <c r="J208" s="1">
        <v>1</v>
      </c>
      <c r="K208" s="2">
        <v>18473.48</v>
      </c>
      <c r="L208" s="1">
        <v>0</v>
      </c>
      <c r="M208" s="1">
        <v>0.436</v>
      </c>
      <c r="N208" s="1">
        <v>1</v>
      </c>
      <c r="O208" s="3" t="s">
        <v>21</v>
      </c>
    </row>
    <row r="209" spans="1:15" x14ac:dyDescent="0.3">
      <c r="A209" s="1" t="s">
        <v>443</v>
      </c>
      <c r="B209" s="1" t="s">
        <v>444</v>
      </c>
      <c r="C209" s="2">
        <v>33191.910000000003</v>
      </c>
      <c r="D209" s="1" t="s">
        <v>24</v>
      </c>
      <c r="E209" s="1" t="s">
        <v>25</v>
      </c>
      <c r="F209" s="1" t="s">
        <v>26</v>
      </c>
      <c r="G209" s="1" t="s">
        <v>36</v>
      </c>
      <c r="H209" s="1">
        <v>1041</v>
      </c>
      <c r="I209" s="1">
        <v>12</v>
      </c>
      <c r="J209" s="1">
        <v>0</v>
      </c>
      <c r="K209" s="2">
        <v>17109.189999999999</v>
      </c>
      <c r="L209" s="1">
        <v>0</v>
      </c>
      <c r="M209" s="1">
        <v>0.51100000000000001</v>
      </c>
      <c r="N209" s="1">
        <v>6</v>
      </c>
      <c r="O209" s="3" t="s">
        <v>21</v>
      </c>
    </row>
    <row r="210" spans="1:15" x14ac:dyDescent="0.3">
      <c r="A210" s="1" t="s">
        <v>445</v>
      </c>
      <c r="B210" s="1" t="s">
        <v>446</v>
      </c>
      <c r="C210" s="2">
        <v>302.83</v>
      </c>
      <c r="D210" s="1" t="s">
        <v>24</v>
      </c>
      <c r="E210" s="1" t="s">
        <v>39</v>
      </c>
      <c r="F210" s="1" t="s">
        <v>30</v>
      </c>
      <c r="G210" s="1" t="s">
        <v>56</v>
      </c>
      <c r="H210" s="1">
        <v>1913</v>
      </c>
      <c r="I210" s="1">
        <v>7</v>
      </c>
      <c r="J210" s="1">
        <v>3</v>
      </c>
      <c r="K210" s="2">
        <v>1903.65</v>
      </c>
      <c r="L210" s="1">
        <v>0</v>
      </c>
      <c r="M210" s="1">
        <v>0.44</v>
      </c>
      <c r="N210" s="1">
        <v>4</v>
      </c>
      <c r="O210" s="3" t="s">
        <v>21</v>
      </c>
    </row>
    <row r="211" spans="1:15" x14ac:dyDescent="0.3">
      <c r="A211" s="1" t="s">
        <v>447</v>
      </c>
      <c r="B211" s="1" t="s">
        <v>448</v>
      </c>
      <c r="C211" s="2">
        <v>8082.36</v>
      </c>
      <c r="D211" s="1" t="s">
        <v>24</v>
      </c>
      <c r="E211" s="1" t="s">
        <v>18</v>
      </c>
      <c r="F211" s="1" t="s">
        <v>19</v>
      </c>
      <c r="G211" s="1" t="s">
        <v>36</v>
      </c>
      <c r="H211" s="1">
        <v>237</v>
      </c>
      <c r="I211" s="1">
        <v>5</v>
      </c>
      <c r="J211" s="1">
        <v>3</v>
      </c>
      <c r="K211" s="2">
        <v>1955.58</v>
      </c>
      <c r="L211" s="1">
        <v>0</v>
      </c>
      <c r="M211" s="1">
        <v>0.65700000000000003</v>
      </c>
      <c r="N211" s="1">
        <v>5</v>
      </c>
      <c r="O211" s="3" t="s">
        <v>21</v>
      </c>
    </row>
    <row r="212" spans="1:15" x14ac:dyDescent="0.3">
      <c r="A212" s="1" t="s">
        <v>449</v>
      </c>
      <c r="B212" s="1" t="s">
        <v>450</v>
      </c>
      <c r="C212" s="2">
        <v>27459.25</v>
      </c>
      <c r="D212" s="1" t="s">
        <v>17</v>
      </c>
      <c r="E212" s="1" t="s">
        <v>39</v>
      </c>
      <c r="F212" s="1" t="s">
        <v>19</v>
      </c>
      <c r="G212" s="1" t="s">
        <v>31</v>
      </c>
      <c r="H212" s="1">
        <v>385</v>
      </c>
      <c r="I212" s="1">
        <v>2</v>
      </c>
      <c r="J212" s="1">
        <v>3</v>
      </c>
      <c r="K212" s="2">
        <v>9221.52</v>
      </c>
      <c r="L212" s="1">
        <v>0</v>
      </c>
      <c r="M212" s="1">
        <v>2.5999999999999999E-2</v>
      </c>
      <c r="N212" s="1">
        <v>6</v>
      </c>
      <c r="O212" s="3" t="s">
        <v>21</v>
      </c>
    </row>
    <row r="213" spans="1:15" x14ac:dyDescent="0.3">
      <c r="A213" s="1" t="s">
        <v>451</v>
      </c>
      <c r="B213" s="1" t="s">
        <v>452</v>
      </c>
      <c r="C213" s="2">
        <v>34610.17</v>
      </c>
      <c r="D213" s="1" t="s">
        <v>51</v>
      </c>
      <c r="E213" s="1" t="s">
        <v>39</v>
      </c>
      <c r="F213" s="1" t="s">
        <v>30</v>
      </c>
      <c r="G213" s="1" t="s">
        <v>20</v>
      </c>
      <c r="H213" s="1">
        <v>1156</v>
      </c>
      <c r="I213" s="1">
        <v>11</v>
      </c>
      <c r="J213" s="1">
        <v>4</v>
      </c>
      <c r="K213" s="2">
        <v>23164.84</v>
      </c>
      <c r="L213" s="1">
        <v>0</v>
      </c>
      <c r="M213" s="1">
        <v>0.88500000000000001</v>
      </c>
      <c r="N213" s="1">
        <v>2</v>
      </c>
      <c r="O213" s="3" t="s">
        <v>21</v>
      </c>
    </row>
    <row r="214" spans="1:15" x14ac:dyDescent="0.3">
      <c r="A214" s="1" t="s">
        <v>453</v>
      </c>
      <c r="B214" s="1" t="s">
        <v>454</v>
      </c>
      <c r="C214" s="2">
        <v>32615.46</v>
      </c>
      <c r="D214" s="1" t="s">
        <v>24</v>
      </c>
      <c r="E214" s="1" t="s">
        <v>25</v>
      </c>
      <c r="F214" s="1" t="s">
        <v>19</v>
      </c>
      <c r="G214" s="1" t="s">
        <v>46</v>
      </c>
      <c r="H214" s="1">
        <v>1123</v>
      </c>
      <c r="I214" s="1">
        <v>8</v>
      </c>
      <c r="J214" s="1">
        <v>0</v>
      </c>
      <c r="K214" s="2">
        <v>715.24</v>
      </c>
      <c r="L214" s="1">
        <v>0</v>
      </c>
      <c r="M214" s="1">
        <v>0.5</v>
      </c>
      <c r="N214" s="1">
        <v>1</v>
      </c>
      <c r="O214" s="3" t="s">
        <v>21</v>
      </c>
    </row>
    <row r="215" spans="1:15" x14ac:dyDescent="0.3">
      <c r="A215" s="1" t="s">
        <v>455</v>
      </c>
      <c r="B215" s="1" t="s">
        <v>456</v>
      </c>
      <c r="C215" s="2">
        <v>11252.25</v>
      </c>
      <c r="D215" s="1" t="s">
        <v>24</v>
      </c>
      <c r="E215" s="1" t="s">
        <v>39</v>
      </c>
      <c r="F215" s="1" t="s">
        <v>19</v>
      </c>
      <c r="G215" s="1" t="s">
        <v>31</v>
      </c>
      <c r="H215" s="1">
        <v>1846</v>
      </c>
      <c r="I215" s="1">
        <v>8</v>
      </c>
      <c r="J215" s="1">
        <v>1</v>
      </c>
      <c r="K215" s="2">
        <v>18516.22</v>
      </c>
      <c r="L215" s="1">
        <v>0</v>
      </c>
      <c r="M215" s="1">
        <v>0.55400000000000005</v>
      </c>
      <c r="N215" s="1">
        <v>2</v>
      </c>
      <c r="O215" s="4" t="s">
        <v>1936</v>
      </c>
    </row>
    <row r="216" spans="1:15" x14ac:dyDescent="0.3">
      <c r="A216" s="1" t="s">
        <v>457</v>
      </c>
      <c r="B216" s="1" t="s">
        <v>458</v>
      </c>
      <c r="C216" s="2">
        <v>35623.35</v>
      </c>
      <c r="D216" s="1" t="s">
        <v>17</v>
      </c>
      <c r="E216" s="1" t="s">
        <v>18</v>
      </c>
      <c r="F216" s="1" t="s">
        <v>19</v>
      </c>
      <c r="G216" s="1" t="s">
        <v>56</v>
      </c>
      <c r="H216" s="1">
        <v>1489</v>
      </c>
      <c r="I216" s="1">
        <v>10</v>
      </c>
      <c r="J216" s="1">
        <v>3</v>
      </c>
      <c r="K216" s="2">
        <v>5592.68</v>
      </c>
      <c r="L216" s="1">
        <v>0</v>
      </c>
      <c r="M216" s="1">
        <v>0.46300000000000002</v>
      </c>
      <c r="N216" s="1">
        <v>6</v>
      </c>
      <c r="O216" s="3" t="s">
        <v>21</v>
      </c>
    </row>
    <row r="217" spans="1:15" x14ac:dyDescent="0.3">
      <c r="A217" s="1" t="s">
        <v>459</v>
      </c>
      <c r="B217" s="1" t="s">
        <v>460</v>
      </c>
      <c r="C217" s="2">
        <v>11900.59</v>
      </c>
      <c r="D217" s="1" t="s">
        <v>24</v>
      </c>
      <c r="E217" s="1" t="s">
        <v>29</v>
      </c>
      <c r="F217" s="1" t="s">
        <v>26</v>
      </c>
      <c r="G217" s="1" t="s">
        <v>20</v>
      </c>
      <c r="H217" s="1">
        <v>233</v>
      </c>
      <c r="I217" s="1">
        <v>5</v>
      </c>
      <c r="J217" s="1">
        <v>2</v>
      </c>
      <c r="K217" s="2">
        <v>28335.06</v>
      </c>
      <c r="L217" s="1">
        <v>0</v>
      </c>
      <c r="M217" s="1">
        <v>0.44500000000000001</v>
      </c>
      <c r="N217" s="1">
        <v>9</v>
      </c>
      <c r="O217" s="3" t="s">
        <v>21</v>
      </c>
    </row>
    <row r="218" spans="1:15" x14ac:dyDescent="0.3">
      <c r="A218" s="1" t="s">
        <v>461</v>
      </c>
      <c r="B218" s="1" t="s">
        <v>462</v>
      </c>
      <c r="C218" s="2">
        <v>16303.71</v>
      </c>
      <c r="D218" s="1" t="s">
        <v>51</v>
      </c>
      <c r="E218" s="1" t="s">
        <v>29</v>
      </c>
      <c r="F218" s="1" t="s">
        <v>30</v>
      </c>
      <c r="G218" s="1" t="s">
        <v>36</v>
      </c>
      <c r="H218" s="1">
        <v>745</v>
      </c>
      <c r="I218" s="1">
        <v>1</v>
      </c>
      <c r="J218" s="1">
        <v>4</v>
      </c>
      <c r="K218" s="2">
        <v>12963.44</v>
      </c>
      <c r="L218" s="1">
        <v>0</v>
      </c>
      <c r="M218" s="1">
        <v>0.187</v>
      </c>
      <c r="N218" s="1">
        <v>8</v>
      </c>
      <c r="O218" s="3" t="s">
        <v>21</v>
      </c>
    </row>
    <row r="219" spans="1:15" x14ac:dyDescent="0.3">
      <c r="A219" s="1" t="s">
        <v>463</v>
      </c>
      <c r="B219" s="1" t="s">
        <v>464</v>
      </c>
      <c r="C219" s="2">
        <v>37337.25</v>
      </c>
      <c r="D219" s="1" t="s">
        <v>17</v>
      </c>
      <c r="E219" s="1" t="s">
        <v>25</v>
      </c>
      <c r="F219" s="1" t="s">
        <v>30</v>
      </c>
      <c r="G219" s="1" t="s">
        <v>20</v>
      </c>
      <c r="H219" s="1">
        <v>266</v>
      </c>
      <c r="I219" s="1">
        <v>6</v>
      </c>
      <c r="J219" s="1">
        <v>1</v>
      </c>
      <c r="K219" s="2">
        <v>1531.73</v>
      </c>
      <c r="L219" s="1">
        <v>0</v>
      </c>
      <c r="M219" s="1">
        <v>0.504</v>
      </c>
      <c r="N219" s="1">
        <v>1</v>
      </c>
      <c r="O219" s="3" t="s">
        <v>21</v>
      </c>
    </row>
    <row r="220" spans="1:15" x14ac:dyDescent="0.3">
      <c r="A220" s="1" t="s">
        <v>465</v>
      </c>
      <c r="B220" s="1" t="s">
        <v>466</v>
      </c>
      <c r="C220" s="2">
        <v>32499.16</v>
      </c>
      <c r="D220" s="1" t="s">
        <v>24</v>
      </c>
      <c r="E220" s="1" t="s">
        <v>18</v>
      </c>
      <c r="F220" s="1" t="s">
        <v>26</v>
      </c>
      <c r="G220" s="1" t="s">
        <v>20</v>
      </c>
      <c r="H220" s="1">
        <v>524</v>
      </c>
      <c r="I220" s="1">
        <v>8</v>
      </c>
      <c r="J220" s="1">
        <v>3</v>
      </c>
      <c r="K220" s="2">
        <v>21437.79</v>
      </c>
      <c r="L220" s="1">
        <v>0</v>
      </c>
      <c r="M220" s="1">
        <v>0.42099999999999999</v>
      </c>
      <c r="N220" s="1">
        <v>5</v>
      </c>
      <c r="O220" s="3" t="s">
        <v>21</v>
      </c>
    </row>
    <row r="221" spans="1:15" x14ac:dyDescent="0.3">
      <c r="A221" s="1" t="s">
        <v>467</v>
      </c>
      <c r="B221" s="1" t="s">
        <v>468</v>
      </c>
      <c r="C221" s="2">
        <v>42468.71</v>
      </c>
      <c r="D221" s="1" t="s">
        <v>24</v>
      </c>
      <c r="E221" s="1" t="s">
        <v>18</v>
      </c>
      <c r="F221" s="1" t="s">
        <v>26</v>
      </c>
      <c r="G221" s="1" t="s">
        <v>56</v>
      </c>
      <c r="H221" s="1">
        <v>842</v>
      </c>
      <c r="I221" s="1">
        <v>18</v>
      </c>
      <c r="J221" s="1">
        <v>1</v>
      </c>
      <c r="K221" s="2">
        <v>14589.82</v>
      </c>
      <c r="L221" s="1">
        <v>0</v>
      </c>
      <c r="M221" s="1">
        <v>0.46800000000000003</v>
      </c>
      <c r="N221" s="1">
        <v>7</v>
      </c>
      <c r="O221" s="3" t="s">
        <v>21</v>
      </c>
    </row>
    <row r="222" spans="1:15" x14ac:dyDescent="0.3">
      <c r="A222" s="1" t="s">
        <v>469</v>
      </c>
      <c r="B222" s="1" t="s">
        <v>470</v>
      </c>
      <c r="C222" s="2">
        <v>32897.760000000002</v>
      </c>
      <c r="D222" s="1" t="s">
        <v>17</v>
      </c>
      <c r="E222" s="1" t="s">
        <v>39</v>
      </c>
      <c r="F222" s="1" t="s">
        <v>19</v>
      </c>
      <c r="G222" s="1" t="s">
        <v>46</v>
      </c>
      <c r="H222" s="1">
        <v>1816</v>
      </c>
      <c r="I222" s="1">
        <v>17</v>
      </c>
      <c r="J222" s="1">
        <v>4</v>
      </c>
      <c r="K222" s="2">
        <v>26449.09</v>
      </c>
      <c r="L222" s="1">
        <v>0</v>
      </c>
      <c r="M222" s="1">
        <v>1.4E-2</v>
      </c>
      <c r="N222" s="1">
        <v>8</v>
      </c>
      <c r="O222" s="4" t="s">
        <v>1936</v>
      </c>
    </row>
    <row r="223" spans="1:15" x14ac:dyDescent="0.3">
      <c r="A223" s="1" t="s">
        <v>471</v>
      </c>
      <c r="B223" s="1" t="s">
        <v>472</v>
      </c>
      <c r="C223" s="2">
        <v>28437.01</v>
      </c>
      <c r="D223" s="1" t="s">
        <v>17</v>
      </c>
      <c r="E223" s="1" t="s">
        <v>25</v>
      </c>
      <c r="F223" s="1" t="s">
        <v>30</v>
      </c>
      <c r="G223" s="1" t="s">
        <v>20</v>
      </c>
      <c r="H223" s="1">
        <v>1851</v>
      </c>
      <c r="I223" s="1">
        <v>11</v>
      </c>
      <c r="J223" s="1">
        <v>2</v>
      </c>
      <c r="K223" s="2">
        <v>19589.57</v>
      </c>
      <c r="L223" s="1">
        <v>0</v>
      </c>
      <c r="M223" s="1">
        <v>0.13100000000000001</v>
      </c>
      <c r="N223" s="1">
        <v>7</v>
      </c>
      <c r="O223" s="3" t="s">
        <v>21</v>
      </c>
    </row>
    <row r="224" spans="1:15" x14ac:dyDescent="0.3">
      <c r="A224" s="1" t="s">
        <v>473</v>
      </c>
      <c r="B224" s="1" t="s">
        <v>474</v>
      </c>
      <c r="C224" s="2">
        <v>4729.05</v>
      </c>
      <c r="D224" s="1" t="s">
        <v>24</v>
      </c>
      <c r="E224" s="1" t="s">
        <v>18</v>
      </c>
      <c r="F224" s="1" t="s">
        <v>26</v>
      </c>
      <c r="G224" s="1" t="s">
        <v>20</v>
      </c>
      <c r="H224" s="1">
        <v>1181</v>
      </c>
      <c r="I224" s="1">
        <v>20</v>
      </c>
      <c r="J224" s="1">
        <v>3</v>
      </c>
      <c r="K224" s="2">
        <v>20806.52</v>
      </c>
      <c r="L224" s="1">
        <v>0</v>
      </c>
      <c r="M224" s="1">
        <v>0.76300000000000001</v>
      </c>
      <c r="N224" s="1">
        <v>1</v>
      </c>
      <c r="O224" s="3" t="s">
        <v>21</v>
      </c>
    </row>
    <row r="225" spans="1:15" x14ac:dyDescent="0.3">
      <c r="A225" s="1" t="s">
        <v>475</v>
      </c>
      <c r="B225" s="1" t="s">
        <v>476</v>
      </c>
      <c r="C225" s="2">
        <v>18417.400000000001</v>
      </c>
      <c r="D225" s="1" t="s">
        <v>51</v>
      </c>
      <c r="E225" s="1" t="s">
        <v>18</v>
      </c>
      <c r="F225" s="1" t="s">
        <v>19</v>
      </c>
      <c r="G225" s="1" t="s">
        <v>46</v>
      </c>
      <c r="H225" s="1">
        <v>1420</v>
      </c>
      <c r="I225" s="1">
        <v>10</v>
      </c>
      <c r="J225" s="1">
        <v>2</v>
      </c>
      <c r="K225" s="2">
        <v>23041.07</v>
      </c>
      <c r="L225" s="1">
        <v>0</v>
      </c>
      <c r="M225" s="1">
        <v>0.41899999999999998</v>
      </c>
      <c r="N225" s="1">
        <v>4</v>
      </c>
      <c r="O225" s="3" t="s">
        <v>21</v>
      </c>
    </row>
    <row r="226" spans="1:15" x14ac:dyDescent="0.3">
      <c r="A226" s="1" t="s">
        <v>477</v>
      </c>
      <c r="B226" s="1" t="s">
        <v>478</v>
      </c>
      <c r="C226" s="2">
        <v>13296.86</v>
      </c>
      <c r="D226" s="1" t="s">
        <v>17</v>
      </c>
      <c r="E226" s="1" t="s">
        <v>18</v>
      </c>
      <c r="F226" s="1" t="s">
        <v>30</v>
      </c>
      <c r="G226" s="1" t="s">
        <v>46</v>
      </c>
      <c r="H226" s="1">
        <v>710</v>
      </c>
      <c r="I226" s="1">
        <v>9</v>
      </c>
      <c r="J226" s="1">
        <v>4</v>
      </c>
      <c r="K226" s="2">
        <v>12668.6</v>
      </c>
      <c r="L226" s="1">
        <v>0</v>
      </c>
      <c r="M226" s="1">
        <v>0.74299999999999999</v>
      </c>
      <c r="N226" s="1">
        <v>4</v>
      </c>
      <c r="O226" s="3" t="s">
        <v>21</v>
      </c>
    </row>
    <row r="227" spans="1:15" x14ac:dyDescent="0.3">
      <c r="A227" s="1" t="s">
        <v>479</v>
      </c>
      <c r="B227" s="1" t="s">
        <v>480</v>
      </c>
      <c r="C227" s="2">
        <v>12237.28</v>
      </c>
      <c r="D227" s="1" t="s">
        <v>51</v>
      </c>
      <c r="E227" s="1" t="s">
        <v>29</v>
      </c>
      <c r="F227" s="1" t="s">
        <v>19</v>
      </c>
      <c r="G227" s="1" t="s">
        <v>36</v>
      </c>
      <c r="H227" s="1">
        <v>920</v>
      </c>
      <c r="I227" s="1">
        <v>22</v>
      </c>
      <c r="J227" s="1">
        <v>2</v>
      </c>
      <c r="K227" s="2">
        <v>23797.16</v>
      </c>
      <c r="L227" s="1">
        <v>0</v>
      </c>
      <c r="M227" s="1">
        <v>0.17100000000000001</v>
      </c>
      <c r="N227" s="1">
        <v>9</v>
      </c>
      <c r="O227" s="3" t="s">
        <v>21</v>
      </c>
    </row>
    <row r="228" spans="1:15" x14ac:dyDescent="0.3">
      <c r="A228" s="1" t="s">
        <v>481</v>
      </c>
      <c r="B228" s="1" t="s">
        <v>482</v>
      </c>
      <c r="C228" s="2">
        <v>48651.88</v>
      </c>
      <c r="D228" s="1" t="s">
        <v>24</v>
      </c>
      <c r="E228" s="1" t="s">
        <v>29</v>
      </c>
      <c r="F228" s="1" t="s">
        <v>30</v>
      </c>
      <c r="G228" s="1" t="s">
        <v>36</v>
      </c>
      <c r="H228" s="1">
        <v>708</v>
      </c>
      <c r="I228" s="1">
        <v>2</v>
      </c>
      <c r="J228" s="1">
        <v>4</v>
      </c>
      <c r="K228" s="2">
        <v>1613.63</v>
      </c>
      <c r="L228" s="1">
        <v>0</v>
      </c>
      <c r="M228" s="1">
        <v>0.69799999999999995</v>
      </c>
      <c r="N228" s="1">
        <v>6</v>
      </c>
      <c r="O228" s="3" t="s">
        <v>21</v>
      </c>
    </row>
    <row r="229" spans="1:15" x14ac:dyDescent="0.3">
      <c r="A229" s="1" t="s">
        <v>483</v>
      </c>
      <c r="B229" s="1" t="s">
        <v>484</v>
      </c>
      <c r="C229" s="2">
        <v>19685.23</v>
      </c>
      <c r="D229" s="1" t="s">
        <v>51</v>
      </c>
      <c r="E229" s="1" t="s">
        <v>29</v>
      </c>
      <c r="F229" s="1" t="s">
        <v>19</v>
      </c>
      <c r="G229" s="1" t="s">
        <v>46</v>
      </c>
      <c r="H229" s="1">
        <v>447</v>
      </c>
      <c r="I229" s="1">
        <v>11</v>
      </c>
      <c r="J229" s="1">
        <v>2</v>
      </c>
      <c r="K229" s="2">
        <v>22989.27</v>
      </c>
      <c r="L229" s="1">
        <v>0</v>
      </c>
      <c r="M229" s="1">
        <v>0.28899999999999998</v>
      </c>
      <c r="N229" s="1">
        <v>6</v>
      </c>
      <c r="O229" s="3" t="s">
        <v>21</v>
      </c>
    </row>
    <row r="230" spans="1:15" x14ac:dyDescent="0.3">
      <c r="A230" s="1" t="s">
        <v>485</v>
      </c>
      <c r="B230" s="1" t="s">
        <v>486</v>
      </c>
      <c r="C230" s="2">
        <v>44607.73</v>
      </c>
      <c r="D230" s="1" t="s">
        <v>24</v>
      </c>
      <c r="E230" s="1" t="s">
        <v>39</v>
      </c>
      <c r="F230" s="1" t="s">
        <v>30</v>
      </c>
      <c r="G230" s="1" t="s">
        <v>31</v>
      </c>
      <c r="H230" s="1">
        <v>1733</v>
      </c>
      <c r="I230" s="1">
        <v>3</v>
      </c>
      <c r="J230" s="1">
        <v>1</v>
      </c>
      <c r="K230" s="2">
        <v>19125.599999999999</v>
      </c>
      <c r="L230" s="1">
        <v>0</v>
      </c>
      <c r="M230" s="1">
        <v>0.70499999999999996</v>
      </c>
      <c r="N230" s="1">
        <v>5</v>
      </c>
      <c r="O230" s="3" t="s">
        <v>21</v>
      </c>
    </row>
    <row r="231" spans="1:15" x14ac:dyDescent="0.3">
      <c r="A231" s="1" t="s">
        <v>487</v>
      </c>
      <c r="B231" s="1" t="s">
        <v>488</v>
      </c>
      <c r="C231" s="2">
        <v>31575.37</v>
      </c>
      <c r="D231" s="1" t="s">
        <v>24</v>
      </c>
      <c r="E231" s="1" t="s">
        <v>39</v>
      </c>
      <c r="F231" s="1" t="s">
        <v>30</v>
      </c>
      <c r="G231" s="1" t="s">
        <v>46</v>
      </c>
      <c r="H231" s="1">
        <v>1669</v>
      </c>
      <c r="I231" s="1">
        <v>9</v>
      </c>
      <c r="J231" s="1">
        <v>1</v>
      </c>
      <c r="K231" s="2">
        <v>17043.28</v>
      </c>
      <c r="L231" s="1">
        <v>0</v>
      </c>
      <c r="M231" s="1">
        <v>8.6999999999999994E-2</v>
      </c>
      <c r="N231" s="1">
        <v>5</v>
      </c>
      <c r="O231" s="4" t="s">
        <v>1936</v>
      </c>
    </row>
    <row r="232" spans="1:15" x14ac:dyDescent="0.3">
      <c r="A232" s="1" t="s">
        <v>489</v>
      </c>
      <c r="B232" s="1" t="s">
        <v>490</v>
      </c>
      <c r="C232" s="2">
        <v>39750.82</v>
      </c>
      <c r="D232" s="1" t="s">
        <v>24</v>
      </c>
      <c r="E232" s="1" t="s">
        <v>39</v>
      </c>
      <c r="F232" s="1" t="s">
        <v>30</v>
      </c>
      <c r="G232" s="1" t="s">
        <v>36</v>
      </c>
      <c r="H232" s="1">
        <v>46</v>
      </c>
      <c r="I232" s="1">
        <v>1</v>
      </c>
      <c r="J232" s="1">
        <v>4</v>
      </c>
      <c r="K232" s="2">
        <v>9612.7000000000007</v>
      </c>
      <c r="L232" s="1">
        <v>0</v>
      </c>
      <c r="M232" s="1">
        <v>0.33400000000000002</v>
      </c>
      <c r="N232" s="1">
        <v>9</v>
      </c>
      <c r="O232" s="3" t="s">
        <v>21</v>
      </c>
    </row>
    <row r="233" spans="1:15" x14ac:dyDescent="0.3">
      <c r="A233" s="1" t="s">
        <v>491</v>
      </c>
      <c r="B233" s="1" t="s">
        <v>492</v>
      </c>
      <c r="C233" s="2">
        <v>25156.720000000001</v>
      </c>
      <c r="D233" s="1" t="s">
        <v>24</v>
      </c>
      <c r="E233" s="1" t="s">
        <v>18</v>
      </c>
      <c r="F233" s="1" t="s">
        <v>30</v>
      </c>
      <c r="G233" s="1" t="s">
        <v>56</v>
      </c>
      <c r="H233" s="1">
        <v>1694</v>
      </c>
      <c r="I233" s="1">
        <v>11</v>
      </c>
      <c r="J233" s="1">
        <v>1</v>
      </c>
      <c r="K233" s="2">
        <v>3511.97</v>
      </c>
      <c r="L233" s="1">
        <v>0</v>
      </c>
      <c r="M233" s="1">
        <v>0.11899999999999999</v>
      </c>
      <c r="N233" s="1">
        <v>2</v>
      </c>
      <c r="O233" s="3" t="s">
        <v>21</v>
      </c>
    </row>
    <row r="234" spans="1:15" x14ac:dyDescent="0.3">
      <c r="A234" s="1" t="s">
        <v>493</v>
      </c>
      <c r="B234" s="1" t="s">
        <v>494</v>
      </c>
      <c r="C234" s="2">
        <v>28866.35</v>
      </c>
      <c r="D234" s="1" t="s">
        <v>51</v>
      </c>
      <c r="E234" s="1" t="s">
        <v>29</v>
      </c>
      <c r="F234" s="1" t="s">
        <v>19</v>
      </c>
      <c r="G234" s="1" t="s">
        <v>56</v>
      </c>
      <c r="H234" s="1">
        <v>115</v>
      </c>
      <c r="I234" s="1">
        <v>10</v>
      </c>
      <c r="J234" s="1">
        <v>2</v>
      </c>
      <c r="K234" s="2">
        <v>19451.3</v>
      </c>
      <c r="L234" s="1">
        <v>0</v>
      </c>
      <c r="M234" s="1">
        <v>0.63</v>
      </c>
      <c r="N234" s="1">
        <v>5</v>
      </c>
      <c r="O234" s="3" t="s">
        <v>21</v>
      </c>
    </row>
    <row r="235" spans="1:15" x14ac:dyDescent="0.3">
      <c r="A235" s="1" t="s">
        <v>495</v>
      </c>
      <c r="B235" s="1" t="s">
        <v>496</v>
      </c>
      <c r="C235" s="2">
        <v>24651.26</v>
      </c>
      <c r="D235" s="1" t="s">
        <v>24</v>
      </c>
      <c r="E235" s="1" t="s">
        <v>18</v>
      </c>
      <c r="F235" s="1" t="s">
        <v>26</v>
      </c>
      <c r="G235" s="1" t="s">
        <v>20</v>
      </c>
      <c r="H235" s="1">
        <v>624</v>
      </c>
      <c r="I235" s="1">
        <v>13</v>
      </c>
      <c r="J235" s="1">
        <v>2</v>
      </c>
      <c r="K235" s="2">
        <v>14202.96</v>
      </c>
      <c r="L235" s="1">
        <v>0</v>
      </c>
      <c r="M235" s="1">
        <v>0.39300000000000002</v>
      </c>
      <c r="N235" s="1">
        <v>1</v>
      </c>
      <c r="O235" s="3" t="s">
        <v>21</v>
      </c>
    </row>
    <row r="236" spans="1:15" x14ac:dyDescent="0.3">
      <c r="A236" s="1" t="s">
        <v>497</v>
      </c>
      <c r="B236" s="1" t="s">
        <v>498</v>
      </c>
      <c r="C236" s="2">
        <v>9802.39</v>
      </c>
      <c r="D236" s="1" t="s">
        <v>24</v>
      </c>
      <c r="E236" s="1" t="s">
        <v>18</v>
      </c>
      <c r="F236" s="1" t="s">
        <v>30</v>
      </c>
      <c r="G236" s="1" t="s">
        <v>56</v>
      </c>
      <c r="H236" s="1">
        <v>1952</v>
      </c>
      <c r="I236" s="1">
        <v>14</v>
      </c>
      <c r="J236" s="1">
        <v>3</v>
      </c>
      <c r="K236" s="2">
        <v>6613.56</v>
      </c>
      <c r="L236" s="1">
        <v>0</v>
      </c>
      <c r="M236" s="1">
        <v>7.3999999999999996E-2</v>
      </c>
      <c r="N236" s="1">
        <v>5</v>
      </c>
      <c r="O236" s="3" t="s">
        <v>21</v>
      </c>
    </row>
    <row r="237" spans="1:15" x14ac:dyDescent="0.3">
      <c r="A237" s="1" t="s">
        <v>499</v>
      </c>
      <c r="B237" s="1" t="s">
        <v>249</v>
      </c>
      <c r="C237" s="2">
        <v>36136.480000000003</v>
      </c>
      <c r="D237" s="1" t="s">
        <v>51</v>
      </c>
      <c r="E237" s="1" t="s">
        <v>25</v>
      </c>
      <c r="F237" s="1" t="s">
        <v>30</v>
      </c>
      <c r="G237" s="1" t="s">
        <v>36</v>
      </c>
      <c r="H237" s="1">
        <v>1922</v>
      </c>
      <c r="I237" s="1">
        <v>13</v>
      </c>
      <c r="J237" s="1">
        <v>4</v>
      </c>
      <c r="K237" s="2">
        <v>1396.66</v>
      </c>
      <c r="L237" s="1">
        <v>0</v>
      </c>
      <c r="M237" s="1">
        <v>0.52600000000000002</v>
      </c>
      <c r="N237" s="1">
        <v>4</v>
      </c>
      <c r="O237" s="3" t="s">
        <v>21</v>
      </c>
    </row>
    <row r="238" spans="1:15" x14ac:dyDescent="0.3">
      <c r="A238" s="1" t="s">
        <v>500</v>
      </c>
      <c r="B238" s="1" t="s">
        <v>501</v>
      </c>
      <c r="C238" s="2">
        <v>14074.58</v>
      </c>
      <c r="D238" s="1" t="s">
        <v>17</v>
      </c>
      <c r="E238" s="1" t="s">
        <v>18</v>
      </c>
      <c r="F238" s="1" t="s">
        <v>30</v>
      </c>
      <c r="G238" s="1" t="s">
        <v>56</v>
      </c>
      <c r="H238" s="1">
        <v>241</v>
      </c>
      <c r="I238" s="1">
        <v>11</v>
      </c>
      <c r="J238" s="1">
        <v>1</v>
      </c>
      <c r="K238" s="2">
        <v>16209.08</v>
      </c>
      <c r="L238" s="1">
        <v>0</v>
      </c>
      <c r="M238" s="1">
        <v>2.5000000000000001E-2</v>
      </c>
      <c r="N238" s="1">
        <v>4</v>
      </c>
      <c r="O238" s="3" t="s">
        <v>21</v>
      </c>
    </row>
    <row r="239" spans="1:15" x14ac:dyDescent="0.3">
      <c r="A239" s="1" t="s">
        <v>502</v>
      </c>
      <c r="B239" s="1" t="s">
        <v>503</v>
      </c>
      <c r="C239" s="2">
        <v>1264.58</v>
      </c>
      <c r="D239" s="1" t="s">
        <v>51</v>
      </c>
      <c r="E239" s="1" t="s">
        <v>39</v>
      </c>
      <c r="F239" s="1" t="s">
        <v>30</v>
      </c>
      <c r="G239" s="1" t="s">
        <v>31</v>
      </c>
      <c r="H239" s="1">
        <v>876</v>
      </c>
      <c r="I239" s="1">
        <v>1</v>
      </c>
      <c r="J239" s="1">
        <v>4</v>
      </c>
      <c r="K239" s="2">
        <v>3876.26</v>
      </c>
      <c r="L239" s="1">
        <v>0</v>
      </c>
      <c r="M239" s="1">
        <v>0.81799999999999995</v>
      </c>
      <c r="N239" s="1">
        <v>4</v>
      </c>
      <c r="O239" s="3" t="s">
        <v>21</v>
      </c>
    </row>
    <row r="240" spans="1:15" x14ac:dyDescent="0.3">
      <c r="A240" s="1" t="s">
        <v>504</v>
      </c>
      <c r="B240" s="1" t="s">
        <v>505</v>
      </c>
      <c r="C240" s="2">
        <v>32291.34</v>
      </c>
      <c r="D240" s="1" t="s">
        <v>51</v>
      </c>
      <c r="E240" s="1" t="s">
        <v>29</v>
      </c>
      <c r="F240" s="1" t="s">
        <v>19</v>
      </c>
      <c r="G240" s="1" t="s">
        <v>46</v>
      </c>
      <c r="H240" s="1">
        <v>1179</v>
      </c>
      <c r="I240" s="1">
        <v>22</v>
      </c>
      <c r="J240" s="1">
        <v>1</v>
      </c>
      <c r="K240" s="2">
        <v>27889.64</v>
      </c>
      <c r="L240" s="1">
        <v>0</v>
      </c>
      <c r="M240" s="1">
        <v>0.93799999999999994</v>
      </c>
      <c r="N240" s="1">
        <v>3</v>
      </c>
      <c r="O240" s="3" t="s">
        <v>21</v>
      </c>
    </row>
    <row r="241" spans="1:15" x14ac:dyDescent="0.3">
      <c r="A241" s="1" t="s">
        <v>506</v>
      </c>
      <c r="B241" s="1" t="s">
        <v>507</v>
      </c>
      <c r="C241" s="2">
        <v>8896.68</v>
      </c>
      <c r="D241" s="1" t="s">
        <v>51</v>
      </c>
      <c r="E241" s="1" t="s">
        <v>29</v>
      </c>
      <c r="F241" s="1" t="s">
        <v>26</v>
      </c>
      <c r="G241" s="1" t="s">
        <v>46</v>
      </c>
      <c r="H241" s="1">
        <v>1050</v>
      </c>
      <c r="I241" s="1">
        <v>1</v>
      </c>
      <c r="J241" s="1">
        <v>3</v>
      </c>
      <c r="K241" s="2">
        <v>4603.8900000000003</v>
      </c>
      <c r="L241" s="1">
        <v>0</v>
      </c>
      <c r="M241" s="1">
        <v>0.81</v>
      </c>
      <c r="N241" s="1">
        <v>6</v>
      </c>
      <c r="O241" s="3" t="s">
        <v>21</v>
      </c>
    </row>
    <row r="242" spans="1:15" x14ac:dyDescent="0.3">
      <c r="A242" s="1" t="s">
        <v>508</v>
      </c>
      <c r="B242" s="1" t="s">
        <v>509</v>
      </c>
      <c r="C242" s="2">
        <v>47025.91</v>
      </c>
      <c r="D242" s="1" t="s">
        <v>24</v>
      </c>
      <c r="E242" s="1" t="s">
        <v>18</v>
      </c>
      <c r="F242" s="1" t="s">
        <v>26</v>
      </c>
      <c r="G242" s="1" t="s">
        <v>36</v>
      </c>
      <c r="H242" s="1">
        <v>1192</v>
      </c>
      <c r="I242" s="1">
        <v>0</v>
      </c>
      <c r="J242" s="1">
        <v>2</v>
      </c>
      <c r="K242" s="2">
        <v>1057.56</v>
      </c>
      <c r="L242" s="1">
        <v>0</v>
      </c>
      <c r="M242" s="1">
        <v>0.95199999999999996</v>
      </c>
      <c r="N242" s="1">
        <v>3</v>
      </c>
      <c r="O242" s="3" t="s">
        <v>21</v>
      </c>
    </row>
    <row r="243" spans="1:15" x14ac:dyDescent="0.3">
      <c r="A243" s="1" t="s">
        <v>510</v>
      </c>
      <c r="B243" s="1" t="s">
        <v>511</v>
      </c>
      <c r="C243" s="2">
        <v>47698.73</v>
      </c>
      <c r="D243" s="1" t="s">
        <v>24</v>
      </c>
      <c r="E243" s="1" t="s">
        <v>39</v>
      </c>
      <c r="F243" s="1" t="s">
        <v>26</v>
      </c>
      <c r="G243" s="1" t="s">
        <v>20</v>
      </c>
      <c r="H243" s="1">
        <v>969</v>
      </c>
      <c r="I243" s="1">
        <v>19</v>
      </c>
      <c r="J243" s="1">
        <v>2</v>
      </c>
      <c r="K243" s="2">
        <v>7935.22</v>
      </c>
      <c r="L243" s="1">
        <v>0</v>
      </c>
      <c r="M243" s="1">
        <v>0.89700000000000002</v>
      </c>
      <c r="N243" s="1">
        <v>6</v>
      </c>
      <c r="O243" s="3" t="s">
        <v>21</v>
      </c>
    </row>
    <row r="244" spans="1:15" x14ac:dyDescent="0.3">
      <c r="A244" s="1" t="s">
        <v>512</v>
      </c>
      <c r="B244" s="1" t="s">
        <v>513</v>
      </c>
      <c r="C244" s="2">
        <v>45747.48</v>
      </c>
      <c r="D244" s="1" t="s">
        <v>24</v>
      </c>
      <c r="E244" s="1" t="s">
        <v>39</v>
      </c>
      <c r="F244" s="1" t="s">
        <v>19</v>
      </c>
      <c r="G244" s="1" t="s">
        <v>46</v>
      </c>
      <c r="H244" s="1">
        <v>1849</v>
      </c>
      <c r="I244" s="1">
        <v>14</v>
      </c>
      <c r="J244" s="1">
        <v>0</v>
      </c>
      <c r="K244" s="2">
        <v>5331.2</v>
      </c>
      <c r="L244" s="1">
        <v>0</v>
      </c>
      <c r="M244" s="1">
        <v>0.89500000000000002</v>
      </c>
      <c r="N244" s="1">
        <v>6</v>
      </c>
      <c r="O244" s="3" t="s">
        <v>21</v>
      </c>
    </row>
    <row r="245" spans="1:15" x14ac:dyDescent="0.3">
      <c r="A245" s="1" t="s">
        <v>514</v>
      </c>
      <c r="B245" s="1" t="s">
        <v>515</v>
      </c>
      <c r="C245" s="2">
        <v>18539.43</v>
      </c>
      <c r="D245" s="1" t="s">
        <v>17</v>
      </c>
      <c r="E245" s="1" t="s">
        <v>39</v>
      </c>
      <c r="F245" s="1" t="s">
        <v>26</v>
      </c>
      <c r="G245" s="1" t="s">
        <v>56</v>
      </c>
      <c r="H245" s="1">
        <v>1315</v>
      </c>
      <c r="I245" s="1">
        <v>21</v>
      </c>
      <c r="J245" s="1">
        <v>4</v>
      </c>
      <c r="K245" s="2">
        <v>23758.02</v>
      </c>
      <c r="L245" s="1">
        <v>0</v>
      </c>
      <c r="M245" s="1">
        <v>0.245</v>
      </c>
      <c r="N245" s="1">
        <v>2</v>
      </c>
      <c r="O245" s="3" t="s">
        <v>21</v>
      </c>
    </row>
    <row r="246" spans="1:15" x14ac:dyDescent="0.3">
      <c r="A246" s="1" t="s">
        <v>516</v>
      </c>
      <c r="B246" s="1" t="s">
        <v>517</v>
      </c>
      <c r="C246" s="2">
        <v>822.06</v>
      </c>
      <c r="D246" s="1" t="s">
        <v>24</v>
      </c>
      <c r="E246" s="1" t="s">
        <v>29</v>
      </c>
      <c r="F246" s="1" t="s">
        <v>19</v>
      </c>
      <c r="G246" s="1" t="s">
        <v>31</v>
      </c>
      <c r="H246" s="1">
        <v>287</v>
      </c>
      <c r="I246" s="1">
        <v>9</v>
      </c>
      <c r="J246" s="1">
        <v>1</v>
      </c>
      <c r="K246" s="2">
        <v>8751.34</v>
      </c>
      <c r="L246" s="1">
        <v>0</v>
      </c>
      <c r="M246" s="1">
        <v>0.23100000000000001</v>
      </c>
      <c r="N246" s="1">
        <v>9</v>
      </c>
      <c r="O246" s="3" t="s">
        <v>21</v>
      </c>
    </row>
    <row r="247" spans="1:15" x14ac:dyDescent="0.3">
      <c r="A247" s="1" t="s">
        <v>518</v>
      </c>
      <c r="B247" s="1" t="s">
        <v>519</v>
      </c>
      <c r="C247" s="2">
        <v>46419.51</v>
      </c>
      <c r="D247" s="1" t="s">
        <v>17</v>
      </c>
      <c r="E247" s="1" t="s">
        <v>39</v>
      </c>
      <c r="F247" s="1" t="s">
        <v>19</v>
      </c>
      <c r="G247" s="1" t="s">
        <v>20</v>
      </c>
      <c r="H247" s="1">
        <v>134</v>
      </c>
      <c r="I247" s="1">
        <v>19</v>
      </c>
      <c r="J247" s="1">
        <v>0</v>
      </c>
      <c r="K247" s="2">
        <v>7432.69</v>
      </c>
      <c r="L247" s="1">
        <v>0</v>
      </c>
      <c r="M247" s="1">
        <v>0.80900000000000005</v>
      </c>
      <c r="N247" s="1">
        <v>8</v>
      </c>
      <c r="O247" s="3" t="s">
        <v>21</v>
      </c>
    </row>
    <row r="248" spans="1:15" x14ac:dyDescent="0.3">
      <c r="A248" s="1" t="s">
        <v>520</v>
      </c>
      <c r="B248" s="1" t="s">
        <v>521</v>
      </c>
      <c r="C248" s="2">
        <v>21437.8</v>
      </c>
      <c r="D248" s="1" t="s">
        <v>24</v>
      </c>
      <c r="E248" s="1" t="s">
        <v>39</v>
      </c>
      <c r="F248" s="1" t="s">
        <v>30</v>
      </c>
      <c r="G248" s="1" t="s">
        <v>20</v>
      </c>
      <c r="H248" s="1">
        <v>1718</v>
      </c>
      <c r="I248" s="1">
        <v>0</v>
      </c>
      <c r="J248" s="1">
        <v>4</v>
      </c>
      <c r="K248" s="2">
        <v>29844.77</v>
      </c>
      <c r="L248" s="1">
        <v>0</v>
      </c>
      <c r="M248" s="1">
        <v>0.49099999999999999</v>
      </c>
      <c r="N248" s="1">
        <v>7</v>
      </c>
      <c r="O248" s="3" t="s">
        <v>21</v>
      </c>
    </row>
    <row r="249" spans="1:15" x14ac:dyDescent="0.3">
      <c r="A249" s="1" t="s">
        <v>522</v>
      </c>
      <c r="B249" s="1" t="s">
        <v>523</v>
      </c>
      <c r="C249" s="2">
        <v>48334.41</v>
      </c>
      <c r="D249" s="1" t="s">
        <v>51</v>
      </c>
      <c r="E249" s="1" t="s">
        <v>18</v>
      </c>
      <c r="F249" s="1" t="s">
        <v>19</v>
      </c>
      <c r="G249" s="1" t="s">
        <v>20</v>
      </c>
      <c r="H249" s="1">
        <v>1453</v>
      </c>
      <c r="I249" s="1">
        <v>0</v>
      </c>
      <c r="J249" s="1">
        <v>1</v>
      </c>
      <c r="K249" s="2">
        <v>4586.8500000000004</v>
      </c>
      <c r="L249" s="1">
        <v>0</v>
      </c>
      <c r="M249" s="1">
        <v>0.94199999999999995</v>
      </c>
      <c r="N249" s="1">
        <v>9</v>
      </c>
      <c r="O249" s="3" t="s">
        <v>21</v>
      </c>
    </row>
    <row r="250" spans="1:15" x14ac:dyDescent="0.3">
      <c r="A250" s="1" t="s">
        <v>524</v>
      </c>
      <c r="B250" s="1" t="s">
        <v>525</v>
      </c>
      <c r="C250" s="2">
        <v>48182.82</v>
      </c>
      <c r="D250" s="1" t="s">
        <v>24</v>
      </c>
      <c r="E250" s="1" t="s">
        <v>25</v>
      </c>
      <c r="F250" s="1" t="s">
        <v>26</v>
      </c>
      <c r="G250" s="1" t="s">
        <v>46</v>
      </c>
      <c r="H250" s="1">
        <v>1353</v>
      </c>
      <c r="I250" s="1">
        <v>0</v>
      </c>
      <c r="J250" s="1">
        <v>3</v>
      </c>
      <c r="K250" s="2">
        <v>2641.46</v>
      </c>
      <c r="L250" s="1">
        <v>0</v>
      </c>
      <c r="M250" s="1">
        <v>0.89700000000000002</v>
      </c>
      <c r="N250" s="1">
        <v>8</v>
      </c>
      <c r="O250" s="3" t="s">
        <v>21</v>
      </c>
    </row>
    <row r="251" spans="1:15" x14ac:dyDescent="0.3">
      <c r="A251" s="1" t="s">
        <v>526</v>
      </c>
      <c r="B251" s="1" t="s">
        <v>527</v>
      </c>
      <c r="C251" s="2">
        <v>42657.82</v>
      </c>
      <c r="D251" s="1" t="s">
        <v>17</v>
      </c>
      <c r="E251" s="1" t="s">
        <v>39</v>
      </c>
      <c r="F251" s="1" t="s">
        <v>26</v>
      </c>
      <c r="G251" s="1" t="s">
        <v>20</v>
      </c>
      <c r="H251" s="1">
        <v>684</v>
      </c>
      <c r="I251" s="1">
        <v>22</v>
      </c>
      <c r="J251" s="1">
        <v>4</v>
      </c>
      <c r="K251" s="2">
        <v>9238.16</v>
      </c>
      <c r="L251" s="1">
        <v>0</v>
      </c>
      <c r="M251" s="1">
        <v>0.89300000000000002</v>
      </c>
      <c r="N251" s="1">
        <v>9</v>
      </c>
      <c r="O251" s="3" t="s">
        <v>21</v>
      </c>
    </row>
    <row r="252" spans="1:15" x14ac:dyDescent="0.3">
      <c r="A252" s="1" t="s">
        <v>528</v>
      </c>
      <c r="B252" s="1" t="s">
        <v>529</v>
      </c>
      <c r="C252" s="2">
        <v>14757.72</v>
      </c>
      <c r="D252" s="1" t="s">
        <v>17</v>
      </c>
      <c r="E252" s="1" t="s">
        <v>18</v>
      </c>
      <c r="F252" s="1" t="s">
        <v>26</v>
      </c>
      <c r="G252" s="1" t="s">
        <v>36</v>
      </c>
      <c r="H252" s="1">
        <v>724</v>
      </c>
      <c r="I252" s="1">
        <v>10</v>
      </c>
      <c r="J252" s="1">
        <v>1</v>
      </c>
      <c r="K252" s="2">
        <v>12212.2</v>
      </c>
      <c r="L252" s="1">
        <v>0</v>
      </c>
      <c r="M252" s="1">
        <v>0.32600000000000001</v>
      </c>
      <c r="N252" s="1">
        <v>8</v>
      </c>
      <c r="O252" s="3" t="s">
        <v>21</v>
      </c>
    </row>
    <row r="253" spans="1:15" x14ac:dyDescent="0.3">
      <c r="A253" s="1" t="s">
        <v>530</v>
      </c>
      <c r="B253" s="1" t="s">
        <v>531</v>
      </c>
      <c r="C253" s="2">
        <v>19285.63</v>
      </c>
      <c r="D253" s="1" t="s">
        <v>24</v>
      </c>
      <c r="E253" s="1" t="s">
        <v>18</v>
      </c>
      <c r="F253" s="1" t="s">
        <v>30</v>
      </c>
      <c r="G253" s="1" t="s">
        <v>56</v>
      </c>
      <c r="H253" s="1">
        <v>1515</v>
      </c>
      <c r="I253" s="1">
        <v>11</v>
      </c>
      <c r="J253" s="1">
        <v>2</v>
      </c>
      <c r="K253" s="2">
        <v>22836.68</v>
      </c>
      <c r="L253" s="1">
        <v>0</v>
      </c>
      <c r="M253" s="1">
        <v>0.13300000000000001</v>
      </c>
      <c r="N253" s="1">
        <v>3</v>
      </c>
      <c r="O253" s="3" t="s">
        <v>21</v>
      </c>
    </row>
    <row r="254" spans="1:15" x14ac:dyDescent="0.3">
      <c r="A254" s="1" t="s">
        <v>532</v>
      </c>
      <c r="B254" s="1" t="s">
        <v>533</v>
      </c>
      <c r="C254" s="2">
        <v>42564.28</v>
      </c>
      <c r="D254" s="1" t="s">
        <v>51</v>
      </c>
      <c r="E254" s="1" t="s">
        <v>39</v>
      </c>
      <c r="F254" s="1" t="s">
        <v>30</v>
      </c>
      <c r="G254" s="1" t="s">
        <v>31</v>
      </c>
      <c r="H254" s="1">
        <v>1883</v>
      </c>
      <c r="I254" s="1">
        <v>14</v>
      </c>
      <c r="J254" s="1">
        <v>4</v>
      </c>
      <c r="K254" s="2">
        <v>28667.77</v>
      </c>
      <c r="L254" s="1">
        <v>0</v>
      </c>
      <c r="M254" s="1">
        <v>0.67800000000000005</v>
      </c>
      <c r="N254" s="1">
        <v>1</v>
      </c>
      <c r="O254" s="3" t="s">
        <v>21</v>
      </c>
    </row>
    <row r="255" spans="1:15" x14ac:dyDescent="0.3">
      <c r="A255" s="1" t="s">
        <v>534</v>
      </c>
      <c r="B255" s="1" t="s">
        <v>535</v>
      </c>
      <c r="C255" s="2">
        <v>15880.25</v>
      </c>
      <c r="D255" s="1" t="s">
        <v>24</v>
      </c>
      <c r="E255" s="1" t="s">
        <v>25</v>
      </c>
      <c r="F255" s="1" t="s">
        <v>30</v>
      </c>
      <c r="G255" s="1" t="s">
        <v>56</v>
      </c>
      <c r="H255" s="1">
        <v>676</v>
      </c>
      <c r="I255" s="1">
        <v>13</v>
      </c>
      <c r="J255" s="1">
        <v>1</v>
      </c>
      <c r="K255" s="2">
        <v>22933.95</v>
      </c>
      <c r="L255" s="1">
        <v>0</v>
      </c>
      <c r="M255" s="1">
        <v>0.441</v>
      </c>
      <c r="N255" s="1">
        <v>6</v>
      </c>
      <c r="O255" s="4" t="s">
        <v>1936</v>
      </c>
    </row>
    <row r="256" spans="1:15" x14ac:dyDescent="0.3">
      <c r="A256" s="1" t="s">
        <v>536</v>
      </c>
      <c r="B256" s="1" t="s">
        <v>320</v>
      </c>
      <c r="C256" s="2">
        <v>8516.16</v>
      </c>
      <c r="D256" s="1" t="s">
        <v>24</v>
      </c>
      <c r="E256" s="1" t="s">
        <v>29</v>
      </c>
      <c r="F256" s="1" t="s">
        <v>19</v>
      </c>
      <c r="G256" s="1" t="s">
        <v>36</v>
      </c>
      <c r="H256" s="1">
        <v>1357</v>
      </c>
      <c r="I256" s="1">
        <v>22</v>
      </c>
      <c r="J256" s="1">
        <v>2</v>
      </c>
      <c r="K256" s="2">
        <v>21826.49</v>
      </c>
      <c r="L256" s="1">
        <v>0</v>
      </c>
      <c r="M256" s="1">
        <v>0.93400000000000005</v>
      </c>
      <c r="N256" s="1">
        <v>3</v>
      </c>
      <c r="O256" s="3" t="s">
        <v>21</v>
      </c>
    </row>
    <row r="257" spans="1:15" x14ac:dyDescent="0.3">
      <c r="A257" s="1" t="s">
        <v>537</v>
      </c>
      <c r="B257" s="1" t="s">
        <v>538</v>
      </c>
      <c r="C257" s="2">
        <v>27862.22</v>
      </c>
      <c r="D257" s="1" t="s">
        <v>24</v>
      </c>
      <c r="E257" s="1" t="s">
        <v>25</v>
      </c>
      <c r="F257" s="1" t="s">
        <v>26</v>
      </c>
      <c r="G257" s="1" t="s">
        <v>36</v>
      </c>
      <c r="H257" s="1">
        <v>922</v>
      </c>
      <c r="I257" s="1">
        <v>0</v>
      </c>
      <c r="J257" s="1">
        <v>2</v>
      </c>
      <c r="K257" s="2">
        <v>29744.29</v>
      </c>
      <c r="L257" s="1">
        <v>0</v>
      </c>
      <c r="M257" s="1">
        <v>0.85399999999999998</v>
      </c>
      <c r="N257" s="1">
        <v>3</v>
      </c>
      <c r="O257" s="4" t="s">
        <v>1936</v>
      </c>
    </row>
    <row r="258" spans="1:15" x14ac:dyDescent="0.3">
      <c r="A258" s="1" t="s">
        <v>539</v>
      </c>
      <c r="B258" s="1" t="s">
        <v>540</v>
      </c>
      <c r="C258" s="2">
        <v>46810.93</v>
      </c>
      <c r="D258" s="1" t="s">
        <v>51</v>
      </c>
      <c r="E258" s="1" t="s">
        <v>39</v>
      </c>
      <c r="F258" s="1" t="s">
        <v>19</v>
      </c>
      <c r="G258" s="1" t="s">
        <v>56</v>
      </c>
      <c r="H258" s="1">
        <v>1999</v>
      </c>
      <c r="I258" s="1">
        <v>0</v>
      </c>
      <c r="J258" s="1">
        <v>0</v>
      </c>
      <c r="K258" s="2">
        <v>22984.38</v>
      </c>
      <c r="L258" s="1">
        <v>0</v>
      </c>
      <c r="M258" s="1">
        <v>0.92900000000000005</v>
      </c>
      <c r="N258" s="1">
        <v>6</v>
      </c>
      <c r="O258" s="3" t="s">
        <v>21</v>
      </c>
    </row>
    <row r="259" spans="1:15" x14ac:dyDescent="0.3">
      <c r="A259" s="1" t="s">
        <v>541</v>
      </c>
      <c r="B259" s="1" t="s">
        <v>542</v>
      </c>
      <c r="C259" s="2">
        <v>34816.69</v>
      </c>
      <c r="D259" s="1" t="s">
        <v>17</v>
      </c>
      <c r="E259" s="1" t="s">
        <v>25</v>
      </c>
      <c r="F259" s="1" t="s">
        <v>19</v>
      </c>
      <c r="G259" s="1" t="s">
        <v>46</v>
      </c>
      <c r="H259" s="1">
        <v>404</v>
      </c>
      <c r="I259" s="1">
        <v>5</v>
      </c>
      <c r="J259" s="1">
        <v>1</v>
      </c>
      <c r="K259" s="2">
        <v>4272.04</v>
      </c>
      <c r="L259" s="1">
        <v>0</v>
      </c>
      <c r="M259" s="1">
        <v>0.56799999999999995</v>
      </c>
      <c r="N259" s="1">
        <v>9</v>
      </c>
      <c r="O259" s="3" t="s">
        <v>21</v>
      </c>
    </row>
    <row r="260" spans="1:15" x14ac:dyDescent="0.3">
      <c r="A260" s="1" t="s">
        <v>543</v>
      </c>
      <c r="B260" s="1" t="s">
        <v>544</v>
      </c>
      <c r="C260" s="2">
        <v>28524.560000000001</v>
      </c>
      <c r="D260" s="1" t="s">
        <v>51</v>
      </c>
      <c r="E260" s="1" t="s">
        <v>18</v>
      </c>
      <c r="F260" s="1" t="s">
        <v>26</v>
      </c>
      <c r="G260" s="1" t="s">
        <v>36</v>
      </c>
      <c r="H260" s="1">
        <v>782</v>
      </c>
      <c r="I260" s="1">
        <v>23</v>
      </c>
      <c r="J260" s="1">
        <v>0</v>
      </c>
      <c r="K260" s="2">
        <v>13899.74</v>
      </c>
      <c r="L260" s="1">
        <v>0</v>
      </c>
      <c r="M260" s="1">
        <v>0.52600000000000002</v>
      </c>
      <c r="N260" s="1">
        <v>5</v>
      </c>
      <c r="O260" s="3" t="s">
        <v>21</v>
      </c>
    </row>
    <row r="261" spans="1:15" x14ac:dyDescent="0.3">
      <c r="A261" s="1" t="s">
        <v>545</v>
      </c>
      <c r="B261" s="1" t="s">
        <v>546</v>
      </c>
      <c r="C261" s="2">
        <v>4903.97</v>
      </c>
      <c r="D261" s="1" t="s">
        <v>17</v>
      </c>
      <c r="E261" s="1" t="s">
        <v>18</v>
      </c>
      <c r="F261" s="1" t="s">
        <v>30</v>
      </c>
      <c r="G261" s="1" t="s">
        <v>20</v>
      </c>
      <c r="H261" s="1">
        <v>195</v>
      </c>
      <c r="I261" s="1">
        <v>22</v>
      </c>
      <c r="J261" s="1">
        <v>0</v>
      </c>
      <c r="K261" s="2">
        <v>15154.79</v>
      </c>
      <c r="L261" s="1">
        <v>1</v>
      </c>
      <c r="M261" s="1">
        <v>0.84699999999999998</v>
      </c>
      <c r="N261" s="1">
        <v>1</v>
      </c>
      <c r="O261" s="3" t="s">
        <v>21</v>
      </c>
    </row>
    <row r="262" spans="1:15" x14ac:dyDescent="0.3">
      <c r="A262" s="1" t="s">
        <v>547</v>
      </c>
      <c r="B262" s="1" t="s">
        <v>548</v>
      </c>
      <c r="C262" s="2">
        <v>30769.61</v>
      </c>
      <c r="D262" s="1" t="s">
        <v>17</v>
      </c>
      <c r="E262" s="1" t="s">
        <v>25</v>
      </c>
      <c r="F262" s="1" t="s">
        <v>26</v>
      </c>
      <c r="G262" s="1" t="s">
        <v>31</v>
      </c>
      <c r="H262" s="1">
        <v>1922</v>
      </c>
      <c r="I262" s="1">
        <v>21</v>
      </c>
      <c r="J262" s="1">
        <v>3</v>
      </c>
      <c r="K262" s="2">
        <v>9213.83</v>
      </c>
      <c r="L262" s="1">
        <v>0</v>
      </c>
      <c r="M262" s="1">
        <v>0.51200000000000001</v>
      </c>
      <c r="N262" s="1">
        <v>7</v>
      </c>
      <c r="O262" s="3" t="s">
        <v>21</v>
      </c>
    </row>
    <row r="263" spans="1:15" x14ac:dyDescent="0.3">
      <c r="A263" s="1" t="s">
        <v>549</v>
      </c>
      <c r="B263" s="1" t="s">
        <v>550</v>
      </c>
      <c r="C263" s="2">
        <v>49503.19</v>
      </c>
      <c r="D263" s="1" t="s">
        <v>17</v>
      </c>
      <c r="E263" s="1" t="s">
        <v>29</v>
      </c>
      <c r="F263" s="1" t="s">
        <v>19</v>
      </c>
      <c r="G263" s="1" t="s">
        <v>31</v>
      </c>
      <c r="H263" s="1">
        <v>475</v>
      </c>
      <c r="I263" s="1">
        <v>2</v>
      </c>
      <c r="J263" s="1">
        <v>0</v>
      </c>
      <c r="K263" s="2">
        <v>5011.84</v>
      </c>
      <c r="L263" s="1">
        <v>0</v>
      </c>
      <c r="M263" s="1">
        <v>0.9</v>
      </c>
      <c r="N263" s="1">
        <v>9</v>
      </c>
      <c r="O263" s="3" t="s">
        <v>21</v>
      </c>
    </row>
    <row r="264" spans="1:15" x14ac:dyDescent="0.3">
      <c r="A264" s="1" t="s">
        <v>551</v>
      </c>
      <c r="B264" s="1" t="s">
        <v>552</v>
      </c>
      <c r="C264" s="2">
        <v>7047.2</v>
      </c>
      <c r="D264" s="1" t="s">
        <v>51</v>
      </c>
      <c r="E264" s="1" t="s">
        <v>25</v>
      </c>
      <c r="F264" s="1" t="s">
        <v>19</v>
      </c>
      <c r="G264" s="1" t="s">
        <v>36</v>
      </c>
      <c r="H264" s="1">
        <v>1090</v>
      </c>
      <c r="I264" s="1">
        <v>13</v>
      </c>
      <c r="J264" s="1">
        <v>0</v>
      </c>
      <c r="K264" s="2">
        <v>21381.040000000001</v>
      </c>
      <c r="L264" s="1">
        <v>0</v>
      </c>
      <c r="M264" s="1">
        <v>3.4000000000000002E-2</v>
      </c>
      <c r="N264" s="1">
        <v>2</v>
      </c>
      <c r="O264" s="3" t="s">
        <v>21</v>
      </c>
    </row>
    <row r="265" spans="1:15" x14ac:dyDescent="0.3">
      <c r="A265" s="1" t="s">
        <v>553</v>
      </c>
      <c r="B265" s="1" t="s">
        <v>554</v>
      </c>
      <c r="C265" s="2">
        <v>25940.57</v>
      </c>
      <c r="D265" s="1" t="s">
        <v>24</v>
      </c>
      <c r="E265" s="1" t="s">
        <v>39</v>
      </c>
      <c r="F265" s="1" t="s">
        <v>30</v>
      </c>
      <c r="G265" s="1" t="s">
        <v>20</v>
      </c>
      <c r="H265" s="1">
        <v>1762</v>
      </c>
      <c r="I265" s="1">
        <v>22</v>
      </c>
      <c r="J265" s="1">
        <v>3</v>
      </c>
      <c r="K265" s="2">
        <v>8397.09</v>
      </c>
      <c r="L265" s="1">
        <v>0</v>
      </c>
      <c r="M265" s="1">
        <v>0.35899999999999999</v>
      </c>
      <c r="N265" s="1">
        <v>9</v>
      </c>
      <c r="O265" s="3" t="s">
        <v>21</v>
      </c>
    </row>
    <row r="266" spans="1:15" x14ac:dyDescent="0.3">
      <c r="A266" s="1" t="s">
        <v>555</v>
      </c>
      <c r="B266" s="1" t="s">
        <v>556</v>
      </c>
      <c r="C266" s="2">
        <v>43874.78</v>
      </c>
      <c r="D266" s="1" t="s">
        <v>24</v>
      </c>
      <c r="E266" s="1" t="s">
        <v>29</v>
      </c>
      <c r="F266" s="1" t="s">
        <v>19</v>
      </c>
      <c r="G266" s="1" t="s">
        <v>56</v>
      </c>
      <c r="H266" s="1">
        <v>467</v>
      </c>
      <c r="I266" s="1">
        <v>5</v>
      </c>
      <c r="J266" s="1">
        <v>3</v>
      </c>
      <c r="K266" s="2">
        <v>18777.18</v>
      </c>
      <c r="L266" s="1">
        <v>1</v>
      </c>
      <c r="M266" s="1">
        <v>0.83499999999999996</v>
      </c>
      <c r="N266" s="1">
        <v>5</v>
      </c>
      <c r="O266" s="3" t="s">
        <v>21</v>
      </c>
    </row>
    <row r="267" spans="1:15" x14ac:dyDescent="0.3">
      <c r="A267" s="1" t="s">
        <v>557</v>
      </c>
      <c r="B267" s="1" t="s">
        <v>558</v>
      </c>
      <c r="C267" s="2">
        <v>37051.39</v>
      </c>
      <c r="D267" s="1" t="s">
        <v>24</v>
      </c>
      <c r="E267" s="1" t="s">
        <v>25</v>
      </c>
      <c r="F267" s="1" t="s">
        <v>19</v>
      </c>
      <c r="G267" s="1" t="s">
        <v>31</v>
      </c>
      <c r="H267" s="1">
        <v>1010</v>
      </c>
      <c r="I267" s="1">
        <v>7</v>
      </c>
      <c r="J267" s="1">
        <v>4</v>
      </c>
      <c r="K267" s="2">
        <v>9745.43</v>
      </c>
      <c r="L267" s="1">
        <v>1</v>
      </c>
      <c r="M267" s="1">
        <v>0.21</v>
      </c>
      <c r="N267" s="1">
        <v>1</v>
      </c>
      <c r="O267" s="3" t="s">
        <v>21</v>
      </c>
    </row>
    <row r="268" spans="1:15" x14ac:dyDescent="0.3">
      <c r="A268" s="1" t="s">
        <v>559</v>
      </c>
      <c r="B268" s="1" t="s">
        <v>560</v>
      </c>
      <c r="C268" s="2">
        <v>34865.94</v>
      </c>
      <c r="D268" s="1" t="s">
        <v>24</v>
      </c>
      <c r="E268" s="1" t="s">
        <v>25</v>
      </c>
      <c r="F268" s="1" t="s">
        <v>26</v>
      </c>
      <c r="G268" s="1" t="s">
        <v>20</v>
      </c>
      <c r="H268" s="1">
        <v>1241</v>
      </c>
      <c r="I268" s="1">
        <v>19</v>
      </c>
      <c r="J268" s="1">
        <v>0</v>
      </c>
      <c r="K268" s="2">
        <v>15236.47</v>
      </c>
      <c r="L268" s="1">
        <v>0</v>
      </c>
      <c r="M268" s="1">
        <v>0.39900000000000002</v>
      </c>
      <c r="N268" s="1">
        <v>4</v>
      </c>
      <c r="O268" s="3" t="s">
        <v>21</v>
      </c>
    </row>
    <row r="269" spans="1:15" x14ac:dyDescent="0.3">
      <c r="A269" s="1" t="s">
        <v>561</v>
      </c>
      <c r="B269" s="1" t="s">
        <v>562</v>
      </c>
      <c r="C269" s="2">
        <v>35139.08</v>
      </c>
      <c r="D269" s="1" t="s">
        <v>24</v>
      </c>
      <c r="E269" s="1" t="s">
        <v>29</v>
      </c>
      <c r="F269" s="1" t="s">
        <v>30</v>
      </c>
      <c r="G269" s="1" t="s">
        <v>20</v>
      </c>
      <c r="H269" s="1">
        <v>1747</v>
      </c>
      <c r="I269" s="1">
        <v>14</v>
      </c>
      <c r="J269" s="1">
        <v>2</v>
      </c>
      <c r="K269" s="2">
        <v>10177.879999999999</v>
      </c>
      <c r="L269" s="1">
        <v>0</v>
      </c>
      <c r="M269" s="1">
        <v>0.01</v>
      </c>
      <c r="N269" s="1">
        <v>8</v>
      </c>
      <c r="O269" s="4" t="s">
        <v>1936</v>
      </c>
    </row>
    <row r="270" spans="1:15" x14ac:dyDescent="0.3">
      <c r="A270" s="1" t="s">
        <v>563</v>
      </c>
      <c r="B270" s="1" t="s">
        <v>564</v>
      </c>
      <c r="C270" s="2">
        <v>18006.580000000002</v>
      </c>
      <c r="D270" s="1" t="s">
        <v>51</v>
      </c>
      <c r="E270" s="1" t="s">
        <v>25</v>
      </c>
      <c r="F270" s="1" t="s">
        <v>26</v>
      </c>
      <c r="G270" s="1" t="s">
        <v>46</v>
      </c>
      <c r="H270" s="1">
        <v>83</v>
      </c>
      <c r="I270" s="1">
        <v>16</v>
      </c>
      <c r="J270" s="1">
        <v>3</v>
      </c>
      <c r="K270" s="2">
        <v>12411.58</v>
      </c>
      <c r="L270" s="1">
        <v>0</v>
      </c>
      <c r="M270" s="1">
        <v>0.30199999999999999</v>
      </c>
      <c r="N270" s="1">
        <v>3</v>
      </c>
      <c r="O270" s="3" t="s">
        <v>21</v>
      </c>
    </row>
    <row r="271" spans="1:15" x14ac:dyDescent="0.3">
      <c r="A271" s="1" t="s">
        <v>565</v>
      </c>
      <c r="B271" s="1" t="s">
        <v>566</v>
      </c>
      <c r="C271" s="2">
        <v>14714.91</v>
      </c>
      <c r="D271" s="1" t="s">
        <v>51</v>
      </c>
      <c r="E271" s="1" t="s">
        <v>39</v>
      </c>
      <c r="F271" s="1" t="s">
        <v>26</v>
      </c>
      <c r="G271" s="1" t="s">
        <v>36</v>
      </c>
      <c r="H271" s="1">
        <v>1517</v>
      </c>
      <c r="I271" s="1">
        <v>22</v>
      </c>
      <c r="J271" s="1">
        <v>1</v>
      </c>
      <c r="K271" s="2">
        <v>21988.79</v>
      </c>
      <c r="L271" s="1">
        <v>0</v>
      </c>
      <c r="M271" s="1">
        <v>0.31900000000000001</v>
      </c>
      <c r="N271" s="1">
        <v>5</v>
      </c>
      <c r="O271" s="3" t="s">
        <v>21</v>
      </c>
    </row>
    <row r="272" spans="1:15" x14ac:dyDescent="0.3">
      <c r="A272" s="1" t="s">
        <v>567</v>
      </c>
      <c r="B272" s="1" t="s">
        <v>568</v>
      </c>
      <c r="C272" s="2">
        <v>40477.589999999997</v>
      </c>
      <c r="D272" s="1" t="s">
        <v>51</v>
      </c>
      <c r="E272" s="1" t="s">
        <v>18</v>
      </c>
      <c r="F272" s="1" t="s">
        <v>26</v>
      </c>
      <c r="G272" s="1" t="s">
        <v>20</v>
      </c>
      <c r="H272" s="1">
        <v>1118</v>
      </c>
      <c r="I272" s="1">
        <v>8</v>
      </c>
      <c r="J272" s="1">
        <v>4</v>
      </c>
      <c r="K272" s="2">
        <v>26526.36</v>
      </c>
      <c r="L272" s="1">
        <v>0</v>
      </c>
      <c r="M272" s="1">
        <v>0.73299999999999998</v>
      </c>
      <c r="N272" s="1">
        <v>2</v>
      </c>
      <c r="O272" s="3" t="s">
        <v>21</v>
      </c>
    </row>
    <row r="273" spans="1:15" x14ac:dyDescent="0.3">
      <c r="A273" s="1" t="s">
        <v>569</v>
      </c>
      <c r="B273" s="1" t="s">
        <v>570</v>
      </c>
      <c r="C273" s="2">
        <v>40515.160000000003</v>
      </c>
      <c r="D273" s="1" t="s">
        <v>51</v>
      </c>
      <c r="E273" s="1" t="s">
        <v>39</v>
      </c>
      <c r="F273" s="1" t="s">
        <v>19</v>
      </c>
      <c r="G273" s="1" t="s">
        <v>56</v>
      </c>
      <c r="H273" s="1">
        <v>641</v>
      </c>
      <c r="I273" s="1">
        <v>15</v>
      </c>
      <c r="J273" s="1">
        <v>4</v>
      </c>
      <c r="K273" s="2">
        <v>15311.5</v>
      </c>
      <c r="L273" s="1">
        <v>0</v>
      </c>
      <c r="M273" s="1">
        <v>0.67700000000000005</v>
      </c>
      <c r="N273" s="1">
        <v>5</v>
      </c>
      <c r="O273" s="3" t="s">
        <v>21</v>
      </c>
    </row>
    <row r="274" spans="1:15" x14ac:dyDescent="0.3">
      <c r="A274" s="1" t="s">
        <v>571</v>
      </c>
      <c r="B274" s="1" t="s">
        <v>572</v>
      </c>
      <c r="C274" s="2">
        <v>43360.26</v>
      </c>
      <c r="D274" s="1" t="s">
        <v>51</v>
      </c>
      <c r="E274" s="1" t="s">
        <v>25</v>
      </c>
      <c r="F274" s="1" t="s">
        <v>19</v>
      </c>
      <c r="G274" s="1" t="s">
        <v>31</v>
      </c>
      <c r="H274" s="1">
        <v>1047</v>
      </c>
      <c r="I274" s="1">
        <v>0</v>
      </c>
      <c r="J274" s="1">
        <v>0</v>
      </c>
      <c r="K274" s="2">
        <v>18346.509999999998</v>
      </c>
      <c r="L274" s="1">
        <v>0</v>
      </c>
      <c r="M274" s="1">
        <v>0.44500000000000001</v>
      </c>
      <c r="N274" s="1">
        <v>9</v>
      </c>
      <c r="O274" s="3" t="s">
        <v>21</v>
      </c>
    </row>
    <row r="275" spans="1:15" x14ac:dyDescent="0.3">
      <c r="A275" s="1" t="s">
        <v>573</v>
      </c>
      <c r="B275" s="1" t="s">
        <v>574</v>
      </c>
      <c r="C275" s="2">
        <v>45666.37</v>
      </c>
      <c r="D275" s="1" t="s">
        <v>51</v>
      </c>
      <c r="E275" s="1" t="s">
        <v>18</v>
      </c>
      <c r="F275" s="1" t="s">
        <v>30</v>
      </c>
      <c r="G275" s="1" t="s">
        <v>46</v>
      </c>
      <c r="H275" s="1">
        <v>849</v>
      </c>
      <c r="I275" s="1">
        <v>15</v>
      </c>
      <c r="J275" s="1">
        <v>2</v>
      </c>
      <c r="K275" s="2">
        <v>25945.85</v>
      </c>
      <c r="L275" s="1">
        <v>0</v>
      </c>
      <c r="M275" s="1">
        <v>0.72899999999999998</v>
      </c>
      <c r="N275" s="1">
        <v>3</v>
      </c>
      <c r="O275" s="3" t="s">
        <v>21</v>
      </c>
    </row>
    <row r="276" spans="1:15" x14ac:dyDescent="0.3">
      <c r="A276" s="1" t="s">
        <v>575</v>
      </c>
      <c r="B276" s="1" t="s">
        <v>576</v>
      </c>
      <c r="C276" s="2">
        <v>25591.55</v>
      </c>
      <c r="D276" s="1" t="s">
        <v>51</v>
      </c>
      <c r="E276" s="1" t="s">
        <v>29</v>
      </c>
      <c r="F276" s="1" t="s">
        <v>19</v>
      </c>
      <c r="G276" s="1" t="s">
        <v>56</v>
      </c>
      <c r="H276" s="1">
        <v>1674</v>
      </c>
      <c r="I276" s="1">
        <v>18</v>
      </c>
      <c r="J276" s="1">
        <v>3</v>
      </c>
      <c r="K276" s="2">
        <v>4382.3500000000004</v>
      </c>
      <c r="L276" s="1">
        <v>0</v>
      </c>
      <c r="M276" s="1">
        <v>0.42799999999999999</v>
      </c>
      <c r="N276" s="1">
        <v>7</v>
      </c>
      <c r="O276" s="3" t="s">
        <v>21</v>
      </c>
    </row>
    <row r="277" spans="1:15" x14ac:dyDescent="0.3">
      <c r="A277" s="1" t="s">
        <v>577</v>
      </c>
      <c r="B277" s="1" t="s">
        <v>578</v>
      </c>
      <c r="C277" s="2">
        <v>25100.74</v>
      </c>
      <c r="D277" s="1" t="s">
        <v>24</v>
      </c>
      <c r="E277" s="1" t="s">
        <v>39</v>
      </c>
      <c r="F277" s="1" t="s">
        <v>30</v>
      </c>
      <c r="G277" s="1" t="s">
        <v>31</v>
      </c>
      <c r="H277" s="1">
        <v>921</v>
      </c>
      <c r="I277" s="1">
        <v>22</v>
      </c>
      <c r="J277" s="1">
        <v>1</v>
      </c>
      <c r="K277" s="2">
        <v>4949.72</v>
      </c>
      <c r="L277" s="1">
        <v>0</v>
      </c>
      <c r="M277" s="1">
        <v>0.435</v>
      </c>
      <c r="N277" s="1">
        <v>6</v>
      </c>
      <c r="O277" s="3" t="s">
        <v>21</v>
      </c>
    </row>
    <row r="278" spans="1:15" x14ac:dyDescent="0.3">
      <c r="A278" s="1" t="s">
        <v>579</v>
      </c>
      <c r="B278" s="1" t="s">
        <v>580</v>
      </c>
      <c r="C278" s="2">
        <v>39924.839999999997</v>
      </c>
      <c r="D278" s="1" t="s">
        <v>17</v>
      </c>
      <c r="E278" s="1" t="s">
        <v>29</v>
      </c>
      <c r="F278" s="1" t="s">
        <v>26</v>
      </c>
      <c r="G278" s="1" t="s">
        <v>36</v>
      </c>
      <c r="H278" s="1">
        <v>803</v>
      </c>
      <c r="I278" s="1">
        <v>8</v>
      </c>
      <c r="J278" s="1">
        <v>0</v>
      </c>
      <c r="K278" s="2">
        <v>10841.18</v>
      </c>
      <c r="L278" s="1">
        <v>0</v>
      </c>
      <c r="M278" s="1">
        <v>0.64600000000000002</v>
      </c>
      <c r="N278" s="1">
        <v>2</v>
      </c>
      <c r="O278" s="3" t="s">
        <v>21</v>
      </c>
    </row>
    <row r="279" spans="1:15" x14ac:dyDescent="0.3">
      <c r="A279" s="1" t="s">
        <v>581</v>
      </c>
      <c r="B279" s="1" t="s">
        <v>582</v>
      </c>
      <c r="C279" s="2">
        <v>32515.7</v>
      </c>
      <c r="D279" s="1" t="s">
        <v>51</v>
      </c>
      <c r="E279" s="1" t="s">
        <v>18</v>
      </c>
      <c r="F279" s="1" t="s">
        <v>26</v>
      </c>
      <c r="G279" s="1" t="s">
        <v>56</v>
      </c>
      <c r="H279" s="1">
        <v>58</v>
      </c>
      <c r="I279" s="1">
        <v>16</v>
      </c>
      <c r="J279" s="1">
        <v>2</v>
      </c>
      <c r="K279" s="2">
        <v>9341.14</v>
      </c>
      <c r="L279" s="1">
        <v>0</v>
      </c>
      <c r="M279" s="1">
        <v>0.72299999999999998</v>
      </c>
      <c r="N279" s="1">
        <v>7</v>
      </c>
      <c r="O279" s="3" t="s">
        <v>21</v>
      </c>
    </row>
    <row r="280" spans="1:15" x14ac:dyDescent="0.3">
      <c r="A280" s="1" t="s">
        <v>583</v>
      </c>
      <c r="B280" s="1" t="s">
        <v>584</v>
      </c>
      <c r="C280" s="2">
        <v>35113.25</v>
      </c>
      <c r="D280" s="1" t="s">
        <v>17</v>
      </c>
      <c r="E280" s="1" t="s">
        <v>25</v>
      </c>
      <c r="F280" s="1" t="s">
        <v>19</v>
      </c>
      <c r="G280" s="1" t="s">
        <v>31</v>
      </c>
      <c r="H280" s="1">
        <v>1459</v>
      </c>
      <c r="I280" s="1">
        <v>5</v>
      </c>
      <c r="J280" s="1">
        <v>0</v>
      </c>
      <c r="K280" s="2">
        <v>29592.57</v>
      </c>
      <c r="L280" s="1">
        <v>0</v>
      </c>
      <c r="M280" s="1">
        <v>0.84699999999999998</v>
      </c>
      <c r="N280" s="1">
        <v>4</v>
      </c>
      <c r="O280" s="3" t="s">
        <v>21</v>
      </c>
    </row>
    <row r="281" spans="1:15" x14ac:dyDescent="0.3">
      <c r="A281" s="1" t="s">
        <v>585</v>
      </c>
      <c r="B281" s="1" t="s">
        <v>586</v>
      </c>
      <c r="C281" s="2">
        <v>39799.839999999997</v>
      </c>
      <c r="D281" s="1" t="s">
        <v>51</v>
      </c>
      <c r="E281" s="1" t="s">
        <v>18</v>
      </c>
      <c r="F281" s="1" t="s">
        <v>19</v>
      </c>
      <c r="G281" s="1" t="s">
        <v>46</v>
      </c>
      <c r="H281" s="1">
        <v>975</v>
      </c>
      <c r="I281" s="1">
        <v>13</v>
      </c>
      <c r="J281" s="1">
        <v>0</v>
      </c>
      <c r="K281" s="2">
        <v>16966.349999999999</v>
      </c>
      <c r="L281" s="1">
        <v>0</v>
      </c>
      <c r="M281" s="1">
        <v>0.751</v>
      </c>
      <c r="N281" s="1">
        <v>6</v>
      </c>
      <c r="O281" s="3" t="s">
        <v>21</v>
      </c>
    </row>
    <row r="282" spans="1:15" x14ac:dyDescent="0.3">
      <c r="A282" s="1" t="s">
        <v>587</v>
      </c>
      <c r="B282" s="1" t="s">
        <v>588</v>
      </c>
      <c r="C282" s="2">
        <v>44505.77</v>
      </c>
      <c r="D282" s="1" t="s">
        <v>51</v>
      </c>
      <c r="E282" s="1" t="s">
        <v>18</v>
      </c>
      <c r="F282" s="1" t="s">
        <v>30</v>
      </c>
      <c r="G282" s="1" t="s">
        <v>31</v>
      </c>
      <c r="H282" s="1">
        <v>368</v>
      </c>
      <c r="I282" s="1">
        <v>17</v>
      </c>
      <c r="J282" s="1">
        <v>4</v>
      </c>
      <c r="K282" s="2">
        <v>15764.81</v>
      </c>
      <c r="L282" s="1">
        <v>0</v>
      </c>
      <c r="M282" s="1">
        <v>0.67</v>
      </c>
      <c r="N282" s="1">
        <v>7</v>
      </c>
      <c r="O282" s="3" t="s">
        <v>21</v>
      </c>
    </row>
    <row r="283" spans="1:15" x14ac:dyDescent="0.3">
      <c r="A283" s="1" t="s">
        <v>589</v>
      </c>
      <c r="B283" s="1" t="s">
        <v>590</v>
      </c>
      <c r="C283" s="2">
        <v>16932.86</v>
      </c>
      <c r="D283" s="1" t="s">
        <v>24</v>
      </c>
      <c r="E283" s="1" t="s">
        <v>29</v>
      </c>
      <c r="F283" s="1" t="s">
        <v>19</v>
      </c>
      <c r="G283" s="1" t="s">
        <v>20</v>
      </c>
      <c r="H283" s="1">
        <v>251</v>
      </c>
      <c r="I283" s="1">
        <v>20</v>
      </c>
      <c r="J283" s="1">
        <v>1</v>
      </c>
      <c r="K283" s="2">
        <v>17403.689999999999</v>
      </c>
      <c r="L283" s="1">
        <v>1</v>
      </c>
      <c r="M283" s="1">
        <v>0.56100000000000005</v>
      </c>
      <c r="N283" s="1">
        <v>9</v>
      </c>
      <c r="O283" s="3" t="s">
        <v>21</v>
      </c>
    </row>
    <row r="284" spans="1:15" x14ac:dyDescent="0.3">
      <c r="A284" s="1" t="s">
        <v>591</v>
      </c>
      <c r="B284" s="1" t="s">
        <v>592</v>
      </c>
      <c r="C284" s="2">
        <v>18810.37</v>
      </c>
      <c r="D284" s="1" t="s">
        <v>17</v>
      </c>
      <c r="E284" s="1" t="s">
        <v>39</v>
      </c>
      <c r="F284" s="1" t="s">
        <v>19</v>
      </c>
      <c r="G284" s="1" t="s">
        <v>46</v>
      </c>
      <c r="H284" s="1">
        <v>1867</v>
      </c>
      <c r="I284" s="1">
        <v>13</v>
      </c>
      <c r="J284" s="1">
        <v>1</v>
      </c>
      <c r="K284" s="2">
        <v>26267.119999999999</v>
      </c>
      <c r="L284" s="1">
        <v>0</v>
      </c>
      <c r="M284" s="1">
        <v>0.308</v>
      </c>
      <c r="N284" s="1">
        <v>7</v>
      </c>
      <c r="O284" s="3" t="s">
        <v>21</v>
      </c>
    </row>
    <row r="285" spans="1:15" x14ac:dyDescent="0.3">
      <c r="A285" s="1" t="s">
        <v>593</v>
      </c>
      <c r="B285" s="1" t="s">
        <v>594</v>
      </c>
      <c r="C285" s="2">
        <v>4744.3999999999996</v>
      </c>
      <c r="D285" s="1" t="s">
        <v>24</v>
      </c>
      <c r="E285" s="1" t="s">
        <v>18</v>
      </c>
      <c r="F285" s="1" t="s">
        <v>19</v>
      </c>
      <c r="G285" s="1" t="s">
        <v>56</v>
      </c>
      <c r="H285" s="1">
        <v>1086</v>
      </c>
      <c r="I285" s="1">
        <v>22</v>
      </c>
      <c r="J285" s="1">
        <v>1</v>
      </c>
      <c r="K285" s="2">
        <v>7382.08</v>
      </c>
      <c r="L285" s="1">
        <v>1</v>
      </c>
      <c r="M285" s="1">
        <v>0.26100000000000001</v>
      </c>
      <c r="N285" s="1">
        <v>3</v>
      </c>
      <c r="O285" s="3" t="s">
        <v>21</v>
      </c>
    </row>
    <row r="286" spans="1:15" x14ac:dyDescent="0.3">
      <c r="A286" s="1" t="s">
        <v>595</v>
      </c>
      <c r="B286" s="1" t="s">
        <v>596</v>
      </c>
      <c r="C286" s="2">
        <v>28935.09</v>
      </c>
      <c r="D286" s="1" t="s">
        <v>24</v>
      </c>
      <c r="E286" s="1" t="s">
        <v>25</v>
      </c>
      <c r="F286" s="1" t="s">
        <v>26</v>
      </c>
      <c r="G286" s="1" t="s">
        <v>36</v>
      </c>
      <c r="H286" s="1">
        <v>1810</v>
      </c>
      <c r="I286" s="1">
        <v>6</v>
      </c>
      <c r="J286" s="1">
        <v>1</v>
      </c>
      <c r="K286" s="2">
        <v>15377.92</v>
      </c>
      <c r="L286" s="1">
        <v>0</v>
      </c>
      <c r="M286" s="1">
        <v>0.84299999999999997</v>
      </c>
      <c r="N286" s="1">
        <v>9</v>
      </c>
      <c r="O286" s="3" t="s">
        <v>21</v>
      </c>
    </row>
    <row r="287" spans="1:15" x14ac:dyDescent="0.3">
      <c r="A287" s="1" t="s">
        <v>597</v>
      </c>
      <c r="B287" s="1" t="s">
        <v>598</v>
      </c>
      <c r="C287" s="2">
        <v>1845.32</v>
      </c>
      <c r="D287" s="1" t="s">
        <v>17</v>
      </c>
      <c r="E287" s="1" t="s">
        <v>18</v>
      </c>
      <c r="F287" s="1" t="s">
        <v>19</v>
      </c>
      <c r="G287" s="1" t="s">
        <v>46</v>
      </c>
      <c r="H287" s="1">
        <v>1102</v>
      </c>
      <c r="I287" s="1">
        <v>9</v>
      </c>
      <c r="J287" s="1">
        <v>3</v>
      </c>
      <c r="K287" s="2">
        <v>8201.7999999999993</v>
      </c>
      <c r="L287" s="1">
        <v>0</v>
      </c>
      <c r="M287" s="1">
        <v>0.71699999999999997</v>
      </c>
      <c r="N287" s="1">
        <v>6</v>
      </c>
      <c r="O287" s="3" t="s">
        <v>21</v>
      </c>
    </row>
    <row r="288" spans="1:15" x14ac:dyDescent="0.3">
      <c r="A288" s="1" t="s">
        <v>599</v>
      </c>
      <c r="B288" s="1" t="s">
        <v>600</v>
      </c>
      <c r="C288" s="2">
        <v>23306.62</v>
      </c>
      <c r="D288" s="1" t="s">
        <v>24</v>
      </c>
      <c r="E288" s="1" t="s">
        <v>29</v>
      </c>
      <c r="F288" s="1" t="s">
        <v>19</v>
      </c>
      <c r="G288" s="1" t="s">
        <v>46</v>
      </c>
      <c r="H288" s="1">
        <v>1585</v>
      </c>
      <c r="I288" s="1">
        <v>15</v>
      </c>
      <c r="J288" s="1">
        <v>3</v>
      </c>
      <c r="K288" s="2">
        <v>23439.23</v>
      </c>
      <c r="L288" s="1">
        <v>0</v>
      </c>
      <c r="M288" s="1">
        <v>0.66500000000000004</v>
      </c>
      <c r="N288" s="1">
        <v>4</v>
      </c>
      <c r="O288" s="3" t="s">
        <v>21</v>
      </c>
    </row>
    <row r="289" spans="1:15" x14ac:dyDescent="0.3">
      <c r="A289" s="1" t="s">
        <v>601</v>
      </c>
      <c r="B289" s="1" t="s">
        <v>602</v>
      </c>
      <c r="C289" s="2">
        <v>27155.1</v>
      </c>
      <c r="D289" s="1" t="s">
        <v>51</v>
      </c>
      <c r="E289" s="1" t="s">
        <v>39</v>
      </c>
      <c r="F289" s="1" t="s">
        <v>26</v>
      </c>
      <c r="G289" s="1" t="s">
        <v>46</v>
      </c>
      <c r="H289" s="1">
        <v>1729</v>
      </c>
      <c r="I289" s="1">
        <v>6</v>
      </c>
      <c r="J289" s="1">
        <v>1</v>
      </c>
      <c r="K289" s="2">
        <v>23335.75</v>
      </c>
      <c r="L289" s="1">
        <v>0</v>
      </c>
      <c r="M289" s="1">
        <v>0.25900000000000001</v>
      </c>
      <c r="N289" s="1">
        <v>5</v>
      </c>
      <c r="O289" s="3" t="s">
        <v>21</v>
      </c>
    </row>
    <row r="290" spans="1:15" x14ac:dyDescent="0.3">
      <c r="A290" s="1" t="s">
        <v>603</v>
      </c>
      <c r="B290" s="1" t="s">
        <v>604</v>
      </c>
      <c r="C290" s="2">
        <v>14362.74</v>
      </c>
      <c r="D290" s="1" t="s">
        <v>51</v>
      </c>
      <c r="E290" s="1" t="s">
        <v>25</v>
      </c>
      <c r="F290" s="1" t="s">
        <v>26</v>
      </c>
      <c r="G290" s="1" t="s">
        <v>31</v>
      </c>
      <c r="H290" s="1">
        <v>1678</v>
      </c>
      <c r="I290" s="1">
        <v>19</v>
      </c>
      <c r="J290" s="1">
        <v>2</v>
      </c>
      <c r="K290" s="2">
        <v>28727.15</v>
      </c>
      <c r="L290" s="1">
        <v>1</v>
      </c>
      <c r="M290" s="1">
        <v>0.97</v>
      </c>
      <c r="N290" s="1">
        <v>1</v>
      </c>
      <c r="O290" s="3" t="s">
        <v>21</v>
      </c>
    </row>
    <row r="291" spans="1:15" x14ac:dyDescent="0.3">
      <c r="A291" s="1" t="s">
        <v>605</v>
      </c>
      <c r="B291" s="1" t="s">
        <v>606</v>
      </c>
      <c r="C291" s="2">
        <v>29562.12</v>
      </c>
      <c r="D291" s="1" t="s">
        <v>51</v>
      </c>
      <c r="E291" s="1" t="s">
        <v>29</v>
      </c>
      <c r="F291" s="1" t="s">
        <v>26</v>
      </c>
      <c r="G291" s="1" t="s">
        <v>20</v>
      </c>
      <c r="H291" s="1">
        <v>65</v>
      </c>
      <c r="I291" s="1">
        <v>5</v>
      </c>
      <c r="J291" s="1">
        <v>3</v>
      </c>
      <c r="K291" s="2">
        <v>13459.98</v>
      </c>
      <c r="L291" s="1">
        <v>0</v>
      </c>
      <c r="M291" s="1">
        <v>8.1000000000000003E-2</v>
      </c>
      <c r="N291" s="1">
        <v>4</v>
      </c>
      <c r="O291" s="3" t="s">
        <v>21</v>
      </c>
    </row>
    <row r="292" spans="1:15" x14ac:dyDescent="0.3">
      <c r="A292" s="1" t="s">
        <v>607</v>
      </c>
      <c r="B292" s="1" t="s">
        <v>608</v>
      </c>
      <c r="C292" s="2">
        <v>1573.49</v>
      </c>
      <c r="D292" s="1" t="s">
        <v>51</v>
      </c>
      <c r="E292" s="1" t="s">
        <v>18</v>
      </c>
      <c r="F292" s="1" t="s">
        <v>26</v>
      </c>
      <c r="G292" s="1" t="s">
        <v>36</v>
      </c>
      <c r="H292" s="1">
        <v>888</v>
      </c>
      <c r="I292" s="1">
        <v>5</v>
      </c>
      <c r="J292" s="1">
        <v>3</v>
      </c>
      <c r="K292" s="2">
        <v>4843.67</v>
      </c>
      <c r="L292" s="1">
        <v>0</v>
      </c>
      <c r="M292" s="1">
        <v>0.83799999999999997</v>
      </c>
      <c r="N292" s="1">
        <v>3</v>
      </c>
      <c r="O292" s="3" t="s">
        <v>21</v>
      </c>
    </row>
    <row r="293" spans="1:15" x14ac:dyDescent="0.3">
      <c r="A293" s="1" t="s">
        <v>609</v>
      </c>
      <c r="B293" s="1" t="s">
        <v>610</v>
      </c>
      <c r="C293" s="2">
        <v>1915.54</v>
      </c>
      <c r="D293" s="1" t="s">
        <v>51</v>
      </c>
      <c r="E293" s="1" t="s">
        <v>18</v>
      </c>
      <c r="F293" s="1" t="s">
        <v>19</v>
      </c>
      <c r="G293" s="1" t="s">
        <v>36</v>
      </c>
      <c r="H293" s="1">
        <v>1489</v>
      </c>
      <c r="I293" s="1">
        <v>6</v>
      </c>
      <c r="J293" s="1">
        <v>2</v>
      </c>
      <c r="K293" s="2">
        <v>26902.69</v>
      </c>
      <c r="L293" s="1">
        <v>0</v>
      </c>
      <c r="M293" s="1">
        <v>0.21099999999999999</v>
      </c>
      <c r="N293" s="1">
        <v>6</v>
      </c>
      <c r="O293" s="3" t="s">
        <v>21</v>
      </c>
    </row>
    <row r="294" spans="1:15" x14ac:dyDescent="0.3">
      <c r="A294" s="1" t="s">
        <v>611</v>
      </c>
      <c r="B294" s="1" t="s">
        <v>612</v>
      </c>
      <c r="C294" s="2">
        <v>41138.9</v>
      </c>
      <c r="D294" s="1" t="s">
        <v>24</v>
      </c>
      <c r="E294" s="1" t="s">
        <v>39</v>
      </c>
      <c r="F294" s="1" t="s">
        <v>19</v>
      </c>
      <c r="G294" s="1" t="s">
        <v>20</v>
      </c>
      <c r="H294" s="1">
        <v>264</v>
      </c>
      <c r="I294" s="1">
        <v>21</v>
      </c>
      <c r="J294" s="1">
        <v>1</v>
      </c>
      <c r="K294" s="2">
        <v>26729.02</v>
      </c>
      <c r="L294" s="1">
        <v>0</v>
      </c>
      <c r="M294" s="1">
        <v>0.39200000000000002</v>
      </c>
      <c r="N294" s="1">
        <v>9</v>
      </c>
      <c r="O294" s="3" t="s">
        <v>21</v>
      </c>
    </row>
    <row r="295" spans="1:15" x14ac:dyDescent="0.3">
      <c r="A295" s="1" t="s">
        <v>613</v>
      </c>
      <c r="B295" s="1" t="s">
        <v>614</v>
      </c>
      <c r="C295" s="2">
        <v>18041.52</v>
      </c>
      <c r="D295" s="1" t="s">
        <v>24</v>
      </c>
      <c r="E295" s="1" t="s">
        <v>29</v>
      </c>
      <c r="F295" s="1" t="s">
        <v>19</v>
      </c>
      <c r="G295" s="1" t="s">
        <v>31</v>
      </c>
      <c r="H295" s="1">
        <v>14</v>
      </c>
      <c r="I295" s="1">
        <v>16</v>
      </c>
      <c r="J295" s="1">
        <v>0</v>
      </c>
      <c r="K295" s="2">
        <v>7116.62</v>
      </c>
      <c r="L295" s="1">
        <v>0</v>
      </c>
      <c r="M295" s="1">
        <v>0.42799999999999999</v>
      </c>
      <c r="N295" s="1">
        <v>3</v>
      </c>
      <c r="O295" s="3" t="s">
        <v>21</v>
      </c>
    </row>
    <row r="296" spans="1:15" x14ac:dyDescent="0.3">
      <c r="A296" s="1" t="s">
        <v>615</v>
      </c>
      <c r="B296" s="1" t="s">
        <v>616</v>
      </c>
      <c r="C296" s="2">
        <v>6396.67</v>
      </c>
      <c r="D296" s="1" t="s">
        <v>51</v>
      </c>
      <c r="E296" s="1" t="s">
        <v>29</v>
      </c>
      <c r="F296" s="1" t="s">
        <v>30</v>
      </c>
      <c r="G296" s="1" t="s">
        <v>31</v>
      </c>
      <c r="H296" s="1">
        <v>1614</v>
      </c>
      <c r="I296" s="1">
        <v>7</v>
      </c>
      <c r="J296" s="1">
        <v>3</v>
      </c>
      <c r="K296" s="2">
        <v>8360.4699999999993</v>
      </c>
      <c r="L296" s="1">
        <v>0</v>
      </c>
      <c r="M296" s="1">
        <v>0.66300000000000003</v>
      </c>
      <c r="N296" s="1">
        <v>5</v>
      </c>
      <c r="O296" s="3" t="s">
        <v>21</v>
      </c>
    </row>
    <row r="297" spans="1:15" x14ac:dyDescent="0.3">
      <c r="A297" s="1" t="s">
        <v>617</v>
      </c>
      <c r="B297" s="1" t="s">
        <v>618</v>
      </c>
      <c r="C297" s="2">
        <v>26136.05</v>
      </c>
      <c r="D297" s="1" t="s">
        <v>51</v>
      </c>
      <c r="E297" s="1" t="s">
        <v>39</v>
      </c>
      <c r="F297" s="1" t="s">
        <v>26</v>
      </c>
      <c r="G297" s="1" t="s">
        <v>20</v>
      </c>
      <c r="H297" s="1">
        <v>1085</v>
      </c>
      <c r="I297" s="1">
        <v>1</v>
      </c>
      <c r="J297" s="1">
        <v>0</v>
      </c>
      <c r="K297" s="2">
        <v>9471.08</v>
      </c>
      <c r="L297" s="1">
        <v>0</v>
      </c>
      <c r="M297" s="1">
        <v>0.54700000000000004</v>
      </c>
      <c r="N297" s="1">
        <v>2</v>
      </c>
      <c r="O297" s="3" t="s">
        <v>21</v>
      </c>
    </row>
    <row r="298" spans="1:15" x14ac:dyDescent="0.3">
      <c r="A298" s="1" t="s">
        <v>619</v>
      </c>
      <c r="B298" s="1" t="s">
        <v>620</v>
      </c>
      <c r="C298" s="2">
        <v>38511.18</v>
      </c>
      <c r="D298" s="1" t="s">
        <v>24</v>
      </c>
      <c r="E298" s="1" t="s">
        <v>25</v>
      </c>
      <c r="F298" s="1" t="s">
        <v>19</v>
      </c>
      <c r="G298" s="1" t="s">
        <v>20</v>
      </c>
      <c r="H298" s="1">
        <v>338</v>
      </c>
      <c r="I298" s="1">
        <v>18</v>
      </c>
      <c r="J298" s="1">
        <v>0</v>
      </c>
      <c r="K298" s="2">
        <v>13607.33</v>
      </c>
      <c r="L298" s="1">
        <v>0</v>
      </c>
      <c r="M298" s="1">
        <v>0.186</v>
      </c>
      <c r="N298" s="1">
        <v>9</v>
      </c>
      <c r="O298" s="3" t="s">
        <v>21</v>
      </c>
    </row>
    <row r="299" spans="1:15" x14ac:dyDescent="0.3">
      <c r="A299" s="1" t="s">
        <v>621</v>
      </c>
      <c r="B299" s="1" t="s">
        <v>622</v>
      </c>
      <c r="C299" s="2">
        <v>10830.26</v>
      </c>
      <c r="D299" s="1" t="s">
        <v>17</v>
      </c>
      <c r="E299" s="1" t="s">
        <v>29</v>
      </c>
      <c r="F299" s="1" t="s">
        <v>19</v>
      </c>
      <c r="G299" s="1" t="s">
        <v>56</v>
      </c>
      <c r="H299" s="1">
        <v>107</v>
      </c>
      <c r="I299" s="1">
        <v>20</v>
      </c>
      <c r="J299" s="1">
        <v>2</v>
      </c>
      <c r="K299" s="2">
        <v>24888.39</v>
      </c>
      <c r="L299" s="1">
        <v>0</v>
      </c>
      <c r="M299" s="1">
        <v>0.03</v>
      </c>
      <c r="N299" s="1">
        <v>8</v>
      </c>
      <c r="O299" s="3" t="s">
        <v>21</v>
      </c>
    </row>
    <row r="300" spans="1:15" x14ac:dyDescent="0.3">
      <c r="A300" s="1" t="s">
        <v>623</v>
      </c>
      <c r="B300" s="1" t="s">
        <v>624</v>
      </c>
      <c r="C300" s="2">
        <v>31163.38</v>
      </c>
      <c r="D300" s="1" t="s">
        <v>24</v>
      </c>
      <c r="E300" s="1" t="s">
        <v>39</v>
      </c>
      <c r="F300" s="1" t="s">
        <v>19</v>
      </c>
      <c r="G300" s="1" t="s">
        <v>31</v>
      </c>
      <c r="H300" s="1">
        <v>1194</v>
      </c>
      <c r="I300" s="1">
        <v>21</v>
      </c>
      <c r="J300" s="1">
        <v>1</v>
      </c>
      <c r="K300" s="2">
        <v>4416.66</v>
      </c>
      <c r="L300" s="1">
        <v>0</v>
      </c>
      <c r="M300" s="1">
        <v>0.71699999999999997</v>
      </c>
      <c r="N300" s="1">
        <v>4</v>
      </c>
      <c r="O300" s="3" t="s">
        <v>21</v>
      </c>
    </row>
    <row r="301" spans="1:15" x14ac:dyDescent="0.3">
      <c r="A301" s="1" t="s">
        <v>625</v>
      </c>
      <c r="B301" s="1" t="s">
        <v>626</v>
      </c>
      <c r="C301" s="2">
        <v>4313.1099999999997</v>
      </c>
      <c r="D301" s="1" t="s">
        <v>24</v>
      </c>
      <c r="E301" s="1" t="s">
        <v>29</v>
      </c>
      <c r="F301" s="1" t="s">
        <v>26</v>
      </c>
      <c r="G301" s="1" t="s">
        <v>46</v>
      </c>
      <c r="H301" s="1">
        <v>1439</v>
      </c>
      <c r="I301" s="1">
        <v>6</v>
      </c>
      <c r="J301" s="1">
        <v>0</v>
      </c>
      <c r="K301" s="2">
        <v>21041.69</v>
      </c>
      <c r="L301" s="1">
        <v>0</v>
      </c>
      <c r="M301" s="1">
        <v>0.505</v>
      </c>
      <c r="N301" s="1">
        <v>8</v>
      </c>
      <c r="O301" s="3" t="s">
        <v>21</v>
      </c>
    </row>
    <row r="302" spans="1:15" x14ac:dyDescent="0.3">
      <c r="A302" s="1" t="s">
        <v>627</v>
      </c>
      <c r="B302" s="1" t="s">
        <v>628</v>
      </c>
      <c r="C302" s="2">
        <v>2631.5</v>
      </c>
      <c r="D302" s="1" t="s">
        <v>24</v>
      </c>
      <c r="E302" s="1" t="s">
        <v>39</v>
      </c>
      <c r="F302" s="1" t="s">
        <v>26</v>
      </c>
      <c r="G302" s="1" t="s">
        <v>36</v>
      </c>
      <c r="H302" s="1">
        <v>990</v>
      </c>
      <c r="I302" s="1">
        <v>11</v>
      </c>
      <c r="J302" s="1">
        <v>1</v>
      </c>
      <c r="K302" s="2">
        <v>10648.73</v>
      </c>
      <c r="L302" s="1">
        <v>0</v>
      </c>
      <c r="M302" s="1">
        <v>0.36199999999999999</v>
      </c>
      <c r="N302" s="1">
        <v>4</v>
      </c>
      <c r="O302" s="3" t="s">
        <v>21</v>
      </c>
    </row>
    <row r="303" spans="1:15" x14ac:dyDescent="0.3">
      <c r="A303" s="1" t="s">
        <v>629</v>
      </c>
      <c r="B303" s="1" t="s">
        <v>630</v>
      </c>
      <c r="C303" s="2">
        <v>26591.16</v>
      </c>
      <c r="D303" s="1" t="s">
        <v>24</v>
      </c>
      <c r="E303" s="1" t="s">
        <v>18</v>
      </c>
      <c r="F303" s="1" t="s">
        <v>26</v>
      </c>
      <c r="G303" s="1" t="s">
        <v>31</v>
      </c>
      <c r="H303" s="1">
        <v>1012</v>
      </c>
      <c r="I303" s="1">
        <v>19</v>
      </c>
      <c r="J303" s="1">
        <v>4</v>
      </c>
      <c r="K303" s="2">
        <v>5950.33</v>
      </c>
      <c r="L303" s="1">
        <v>0</v>
      </c>
      <c r="M303" s="1">
        <v>0.28499999999999998</v>
      </c>
      <c r="N303" s="1">
        <v>2</v>
      </c>
      <c r="O303" s="3" t="s">
        <v>21</v>
      </c>
    </row>
    <row r="304" spans="1:15" x14ac:dyDescent="0.3">
      <c r="A304" s="1" t="s">
        <v>631</v>
      </c>
      <c r="B304" s="1" t="s">
        <v>632</v>
      </c>
      <c r="C304" s="2">
        <v>27054.720000000001</v>
      </c>
      <c r="D304" s="1" t="s">
        <v>24</v>
      </c>
      <c r="E304" s="1" t="s">
        <v>18</v>
      </c>
      <c r="F304" s="1" t="s">
        <v>19</v>
      </c>
      <c r="G304" s="1" t="s">
        <v>20</v>
      </c>
      <c r="H304" s="1">
        <v>792</v>
      </c>
      <c r="I304" s="1">
        <v>2</v>
      </c>
      <c r="J304" s="1">
        <v>1</v>
      </c>
      <c r="K304" s="2">
        <v>10219.31</v>
      </c>
      <c r="L304" s="1">
        <v>0</v>
      </c>
      <c r="M304" s="1">
        <v>0.82299999999999995</v>
      </c>
      <c r="N304" s="1">
        <v>9</v>
      </c>
      <c r="O304" s="3" t="s">
        <v>21</v>
      </c>
    </row>
    <row r="305" spans="1:15" x14ac:dyDescent="0.3">
      <c r="A305" s="1" t="s">
        <v>633</v>
      </c>
      <c r="B305" s="1" t="s">
        <v>634</v>
      </c>
      <c r="C305" s="2">
        <v>31889.62</v>
      </c>
      <c r="D305" s="1" t="s">
        <v>17</v>
      </c>
      <c r="E305" s="1" t="s">
        <v>29</v>
      </c>
      <c r="F305" s="1" t="s">
        <v>26</v>
      </c>
      <c r="G305" s="1" t="s">
        <v>46</v>
      </c>
      <c r="H305" s="1">
        <v>586</v>
      </c>
      <c r="I305" s="1">
        <v>3</v>
      </c>
      <c r="J305" s="1">
        <v>2</v>
      </c>
      <c r="K305" s="2">
        <v>16044.95</v>
      </c>
      <c r="L305" s="1">
        <v>0</v>
      </c>
      <c r="M305" s="1">
        <v>0.79600000000000004</v>
      </c>
      <c r="N305" s="1">
        <v>2</v>
      </c>
      <c r="O305" s="4" t="s">
        <v>1936</v>
      </c>
    </row>
    <row r="306" spans="1:15" x14ac:dyDescent="0.3">
      <c r="A306" s="1" t="s">
        <v>635</v>
      </c>
      <c r="B306" s="1" t="s">
        <v>636</v>
      </c>
      <c r="C306" s="2">
        <v>36318.26</v>
      </c>
      <c r="D306" s="1" t="s">
        <v>51</v>
      </c>
      <c r="E306" s="1" t="s">
        <v>29</v>
      </c>
      <c r="F306" s="1" t="s">
        <v>19</v>
      </c>
      <c r="G306" s="1" t="s">
        <v>56</v>
      </c>
      <c r="H306" s="1">
        <v>336</v>
      </c>
      <c r="I306" s="1">
        <v>10</v>
      </c>
      <c r="J306" s="1">
        <v>2</v>
      </c>
      <c r="K306" s="2">
        <v>27650.28</v>
      </c>
      <c r="L306" s="1">
        <v>0</v>
      </c>
      <c r="M306" s="1">
        <v>0.82599999999999996</v>
      </c>
      <c r="N306" s="1">
        <v>1</v>
      </c>
      <c r="O306" s="3" t="s">
        <v>21</v>
      </c>
    </row>
    <row r="307" spans="1:15" x14ac:dyDescent="0.3">
      <c r="A307" s="1" t="s">
        <v>637</v>
      </c>
      <c r="B307" s="1" t="s">
        <v>638</v>
      </c>
      <c r="C307" s="2">
        <v>48793.81</v>
      </c>
      <c r="D307" s="1" t="s">
        <v>51</v>
      </c>
      <c r="E307" s="1" t="s">
        <v>18</v>
      </c>
      <c r="F307" s="1" t="s">
        <v>30</v>
      </c>
      <c r="G307" s="1" t="s">
        <v>56</v>
      </c>
      <c r="H307" s="1">
        <v>1952</v>
      </c>
      <c r="I307" s="1">
        <v>11</v>
      </c>
      <c r="J307" s="1">
        <v>4</v>
      </c>
      <c r="K307" s="2">
        <v>18885.23</v>
      </c>
      <c r="L307" s="1">
        <v>1</v>
      </c>
      <c r="M307" s="1">
        <v>0.219</v>
      </c>
      <c r="N307" s="1">
        <v>1</v>
      </c>
      <c r="O307" s="3" t="s">
        <v>21</v>
      </c>
    </row>
    <row r="308" spans="1:15" x14ac:dyDescent="0.3">
      <c r="A308" s="1" t="s">
        <v>639</v>
      </c>
      <c r="B308" s="1" t="s">
        <v>640</v>
      </c>
      <c r="C308" s="2">
        <v>25839.200000000001</v>
      </c>
      <c r="D308" s="1" t="s">
        <v>17</v>
      </c>
      <c r="E308" s="1" t="s">
        <v>25</v>
      </c>
      <c r="F308" s="1" t="s">
        <v>26</v>
      </c>
      <c r="G308" s="1" t="s">
        <v>46</v>
      </c>
      <c r="H308" s="1">
        <v>252</v>
      </c>
      <c r="I308" s="1">
        <v>18</v>
      </c>
      <c r="J308" s="1">
        <v>2</v>
      </c>
      <c r="K308" s="2">
        <v>18251.73</v>
      </c>
      <c r="L308" s="1">
        <v>0</v>
      </c>
      <c r="M308" s="1">
        <v>0.85199999999999998</v>
      </c>
      <c r="N308" s="1">
        <v>3</v>
      </c>
      <c r="O308" s="3" t="s">
        <v>21</v>
      </c>
    </row>
    <row r="309" spans="1:15" x14ac:dyDescent="0.3">
      <c r="A309" s="1" t="s">
        <v>641</v>
      </c>
      <c r="B309" s="1" t="s">
        <v>642</v>
      </c>
      <c r="C309" s="2">
        <v>16181.68</v>
      </c>
      <c r="D309" s="1" t="s">
        <v>51</v>
      </c>
      <c r="E309" s="1" t="s">
        <v>39</v>
      </c>
      <c r="F309" s="1" t="s">
        <v>26</v>
      </c>
      <c r="G309" s="1" t="s">
        <v>46</v>
      </c>
      <c r="H309" s="1">
        <v>1537</v>
      </c>
      <c r="I309" s="1">
        <v>18</v>
      </c>
      <c r="J309" s="1">
        <v>1</v>
      </c>
      <c r="K309" s="2">
        <v>3351.36</v>
      </c>
      <c r="L309" s="1">
        <v>0</v>
      </c>
      <c r="M309" s="1">
        <v>0.98599999999999999</v>
      </c>
      <c r="N309" s="1">
        <v>7</v>
      </c>
      <c r="O309" s="3" t="s">
        <v>21</v>
      </c>
    </row>
    <row r="310" spans="1:15" x14ac:dyDescent="0.3">
      <c r="A310" s="1" t="s">
        <v>643</v>
      </c>
      <c r="B310" s="1" t="s">
        <v>644</v>
      </c>
      <c r="C310" s="2">
        <v>39769.550000000003</v>
      </c>
      <c r="D310" s="1" t="s">
        <v>51</v>
      </c>
      <c r="E310" s="1" t="s">
        <v>25</v>
      </c>
      <c r="F310" s="1" t="s">
        <v>19</v>
      </c>
      <c r="G310" s="1" t="s">
        <v>20</v>
      </c>
      <c r="H310" s="1">
        <v>376</v>
      </c>
      <c r="I310" s="1">
        <v>10</v>
      </c>
      <c r="J310" s="1">
        <v>1</v>
      </c>
      <c r="K310" s="2">
        <v>2486.0500000000002</v>
      </c>
      <c r="L310" s="1">
        <v>0</v>
      </c>
      <c r="M310" s="1">
        <v>0.59899999999999998</v>
      </c>
      <c r="N310" s="1">
        <v>6</v>
      </c>
      <c r="O310" s="3" t="s">
        <v>21</v>
      </c>
    </row>
    <row r="311" spans="1:15" x14ac:dyDescent="0.3">
      <c r="A311" s="1" t="s">
        <v>645</v>
      </c>
      <c r="B311" s="1" t="s">
        <v>646</v>
      </c>
      <c r="C311" s="2">
        <v>13578.07</v>
      </c>
      <c r="D311" s="1" t="s">
        <v>51</v>
      </c>
      <c r="E311" s="1" t="s">
        <v>25</v>
      </c>
      <c r="F311" s="1" t="s">
        <v>26</v>
      </c>
      <c r="G311" s="1" t="s">
        <v>20</v>
      </c>
      <c r="H311" s="1">
        <v>783</v>
      </c>
      <c r="I311" s="1">
        <v>12</v>
      </c>
      <c r="J311" s="1">
        <v>1</v>
      </c>
      <c r="K311" s="2">
        <v>3970.96</v>
      </c>
      <c r="L311" s="1">
        <v>0</v>
      </c>
      <c r="M311" s="1">
        <v>4.7E-2</v>
      </c>
      <c r="N311" s="1">
        <v>3</v>
      </c>
      <c r="O311" s="3" t="s">
        <v>21</v>
      </c>
    </row>
    <row r="312" spans="1:15" x14ac:dyDescent="0.3">
      <c r="A312" s="1" t="s">
        <v>647</v>
      </c>
      <c r="B312" s="1" t="s">
        <v>648</v>
      </c>
      <c r="C312" s="2">
        <v>21976.62</v>
      </c>
      <c r="D312" s="1" t="s">
        <v>17</v>
      </c>
      <c r="E312" s="1" t="s">
        <v>25</v>
      </c>
      <c r="F312" s="1" t="s">
        <v>26</v>
      </c>
      <c r="G312" s="1" t="s">
        <v>36</v>
      </c>
      <c r="H312" s="1">
        <v>733</v>
      </c>
      <c r="I312" s="1">
        <v>23</v>
      </c>
      <c r="J312" s="1">
        <v>2</v>
      </c>
      <c r="K312" s="2">
        <v>2956.81</v>
      </c>
      <c r="L312" s="1">
        <v>0</v>
      </c>
      <c r="M312" s="1">
        <v>0.70199999999999996</v>
      </c>
      <c r="N312" s="1">
        <v>5</v>
      </c>
      <c r="O312" s="3" t="s">
        <v>21</v>
      </c>
    </row>
    <row r="313" spans="1:15" x14ac:dyDescent="0.3">
      <c r="A313" s="1" t="s">
        <v>649</v>
      </c>
      <c r="B313" s="1" t="s">
        <v>650</v>
      </c>
      <c r="C313" s="2">
        <v>3968.9</v>
      </c>
      <c r="D313" s="1" t="s">
        <v>17</v>
      </c>
      <c r="E313" s="1" t="s">
        <v>18</v>
      </c>
      <c r="F313" s="1" t="s">
        <v>19</v>
      </c>
      <c r="G313" s="1" t="s">
        <v>36</v>
      </c>
      <c r="H313" s="1">
        <v>1475</v>
      </c>
      <c r="I313" s="1">
        <v>0</v>
      </c>
      <c r="J313" s="1">
        <v>1</v>
      </c>
      <c r="K313" s="2">
        <v>17333.3</v>
      </c>
      <c r="L313" s="1">
        <v>1</v>
      </c>
      <c r="M313" s="1">
        <v>0.53800000000000003</v>
      </c>
      <c r="N313" s="1">
        <v>6</v>
      </c>
      <c r="O313" s="3" t="s">
        <v>21</v>
      </c>
    </row>
    <row r="314" spans="1:15" x14ac:dyDescent="0.3">
      <c r="A314" s="1" t="s">
        <v>651</v>
      </c>
      <c r="B314" s="1" t="s">
        <v>164</v>
      </c>
      <c r="C314" s="2">
        <v>1316.27</v>
      </c>
      <c r="D314" s="1" t="s">
        <v>51</v>
      </c>
      <c r="E314" s="1" t="s">
        <v>29</v>
      </c>
      <c r="F314" s="1" t="s">
        <v>19</v>
      </c>
      <c r="G314" s="1" t="s">
        <v>56</v>
      </c>
      <c r="H314" s="1">
        <v>1187</v>
      </c>
      <c r="I314" s="1">
        <v>5</v>
      </c>
      <c r="J314" s="1">
        <v>3</v>
      </c>
      <c r="K314" s="2">
        <v>13633.2</v>
      </c>
      <c r="L314" s="1">
        <v>0</v>
      </c>
      <c r="M314" s="1">
        <v>0.71199999999999997</v>
      </c>
      <c r="N314" s="1">
        <v>2</v>
      </c>
      <c r="O314" s="3" t="s">
        <v>21</v>
      </c>
    </row>
    <row r="315" spans="1:15" x14ac:dyDescent="0.3">
      <c r="A315" s="1" t="s">
        <v>652</v>
      </c>
      <c r="B315" s="1" t="s">
        <v>653</v>
      </c>
      <c r="C315" s="2">
        <v>48134.29</v>
      </c>
      <c r="D315" s="1" t="s">
        <v>51</v>
      </c>
      <c r="E315" s="1" t="s">
        <v>25</v>
      </c>
      <c r="F315" s="1" t="s">
        <v>19</v>
      </c>
      <c r="G315" s="1" t="s">
        <v>46</v>
      </c>
      <c r="H315" s="1">
        <v>243</v>
      </c>
      <c r="I315" s="1">
        <v>21</v>
      </c>
      <c r="J315" s="1">
        <v>4</v>
      </c>
      <c r="K315" s="2">
        <v>249.26</v>
      </c>
      <c r="L315" s="1">
        <v>0</v>
      </c>
      <c r="M315" s="1">
        <v>0.188</v>
      </c>
      <c r="N315" s="1">
        <v>3</v>
      </c>
      <c r="O315" s="3" t="s">
        <v>21</v>
      </c>
    </row>
    <row r="316" spans="1:15" x14ac:dyDescent="0.3">
      <c r="A316" s="1" t="s">
        <v>654</v>
      </c>
      <c r="B316" s="1" t="s">
        <v>655</v>
      </c>
      <c r="C316" s="2">
        <v>41807.21</v>
      </c>
      <c r="D316" s="1" t="s">
        <v>51</v>
      </c>
      <c r="E316" s="1" t="s">
        <v>18</v>
      </c>
      <c r="F316" s="1" t="s">
        <v>30</v>
      </c>
      <c r="G316" s="1" t="s">
        <v>56</v>
      </c>
      <c r="H316" s="1">
        <v>661</v>
      </c>
      <c r="I316" s="1">
        <v>15</v>
      </c>
      <c r="J316" s="1">
        <v>3</v>
      </c>
      <c r="K316" s="2">
        <v>10596.89</v>
      </c>
      <c r="L316" s="1">
        <v>0</v>
      </c>
      <c r="M316" s="1">
        <v>0.60599999999999998</v>
      </c>
      <c r="N316" s="1">
        <v>4</v>
      </c>
      <c r="O316" s="3" t="s">
        <v>21</v>
      </c>
    </row>
    <row r="317" spans="1:15" x14ac:dyDescent="0.3">
      <c r="A317" s="1" t="s">
        <v>656</v>
      </c>
      <c r="B317" s="1" t="s">
        <v>657</v>
      </c>
      <c r="C317" s="2">
        <v>34813.910000000003</v>
      </c>
      <c r="D317" s="1" t="s">
        <v>24</v>
      </c>
      <c r="E317" s="1" t="s">
        <v>39</v>
      </c>
      <c r="F317" s="1" t="s">
        <v>19</v>
      </c>
      <c r="G317" s="1" t="s">
        <v>20</v>
      </c>
      <c r="H317" s="1">
        <v>342</v>
      </c>
      <c r="I317" s="1">
        <v>1</v>
      </c>
      <c r="J317" s="1">
        <v>1</v>
      </c>
      <c r="K317" s="2">
        <v>3908.19</v>
      </c>
      <c r="L317" s="1">
        <v>1</v>
      </c>
      <c r="M317" s="1">
        <v>0.53900000000000003</v>
      </c>
      <c r="N317" s="1">
        <v>8</v>
      </c>
      <c r="O317" s="3" t="s">
        <v>21</v>
      </c>
    </row>
    <row r="318" spans="1:15" x14ac:dyDescent="0.3">
      <c r="A318" s="1" t="s">
        <v>658</v>
      </c>
      <c r="B318" s="1" t="s">
        <v>659</v>
      </c>
      <c r="C318" s="2">
        <v>20477.2</v>
      </c>
      <c r="D318" s="1" t="s">
        <v>24</v>
      </c>
      <c r="E318" s="1" t="s">
        <v>29</v>
      </c>
      <c r="F318" s="1" t="s">
        <v>26</v>
      </c>
      <c r="G318" s="1" t="s">
        <v>31</v>
      </c>
      <c r="H318" s="1">
        <v>504</v>
      </c>
      <c r="I318" s="1">
        <v>13</v>
      </c>
      <c r="J318" s="1">
        <v>2</v>
      </c>
      <c r="K318" s="2">
        <v>29644.77</v>
      </c>
      <c r="L318" s="1">
        <v>0</v>
      </c>
      <c r="M318" s="1">
        <v>0.60199999999999998</v>
      </c>
      <c r="N318" s="1">
        <v>1</v>
      </c>
      <c r="O318" s="3" t="s">
        <v>21</v>
      </c>
    </row>
    <row r="319" spans="1:15" x14ac:dyDescent="0.3">
      <c r="A319" s="1" t="s">
        <v>660</v>
      </c>
      <c r="B319" s="1" t="s">
        <v>661</v>
      </c>
      <c r="C319" s="2">
        <v>8706.0499999999993</v>
      </c>
      <c r="D319" s="1" t="s">
        <v>24</v>
      </c>
      <c r="E319" s="1" t="s">
        <v>39</v>
      </c>
      <c r="F319" s="1" t="s">
        <v>30</v>
      </c>
      <c r="G319" s="1" t="s">
        <v>20</v>
      </c>
      <c r="H319" s="1">
        <v>1148</v>
      </c>
      <c r="I319" s="1">
        <v>23</v>
      </c>
      <c r="J319" s="1">
        <v>4</v>
      </c>
      <c r="K319" s="2">
        <v>13858.71</v>
      </c>
      <c r="L319" s="1">
        <v>0</v>
      </c>
      <c r="M319" s="1">
        <v>0.72799999999999998</v>
      </c>
      <c r="N319" s="1">
        <v>9</v>
      </c>
      <c r="O319" s="3" t="s">
        <v>21</v>
      </c>
    </row>
    <row r="320" spans="1:15" x14ac:dyDescent="0.3">
      <c r="A320" s="1" t="s">
        <v>662</v>
      </c>
      <c r="B320" s="1" t="s">
        <v>663</v>
      </c>
      <c r="C320" s="2">
        <v>7864.03</v>
      </c>
      <c r="D320" s="1" t="s">
        <v>17</v>
      </c>
      <c r="E320" s="1" t="s">
        <v>25</v>
      </c>
      <c r="F320" s="1" t="s">
        <v>19</v>
      </c>
      <c r="G320" s="1" t="s">
        <v>31</v>
      </c>
      <c r="H320" s="1">
        <v>378</v>
      </c>
      <c r="I320" s="1">
        <v>22</v>
      </c>
      <c r="J320" s="1">
        <v>3</v>
      </c>
      <c r="K320" s="2">
        <v>12841.19</v>
      </c>
      <c r="L320" s="1">
        <v>1</v>
      </c>
      <c r="M320" s="1">
        <v>0.54400000000000004</v>
      </c>
      <c r="N320" s="1">
        <v>1</v>
      </c>
      <c r="O320" s="3" t="s">
        <v>21</v>
      </c>
    </row>
    <row r="321" spans="1:15" x14ac:dyDescent="0.3">
      <c r="A321" s="1" t="s">
        <v>664</v>
      </c>
      <c r="B321" s="1" t="s">
        <v>665</v>
      </c>
      <c r="C321" s="2">
        <v>12549.63</v>
      </c>
      <c r="D321" s="1" t="s">
        <v>51</v>
      </c>
      <c r="E321" s="1" t="s">
        <v>29</v>
      </c>
      <c r="F321" s="1" t="s">
        <v>30</v>
      </c>
      <c r="G321" s="1" t="s">
        <v>46</v>
      </c>
      <c r="H321" s="1">
        <v>1366</v>
      </c>
      <c r="I321" s="1">
        <v>17</v>
      </c>
      <c r="J321" s="1">
        <v>1</v>
      </c>
      <c r="K321" s="2">
        <v>19360.810000000001</v>
      </c>
      <c r="L321" s="1">
        <v>0</v>
      </c>
      <c r="M321" s="1">
        <v>0.32200000000000001</v>
      </c>
      <c r="N321" s="1">
        <v>3</v>
      </c>
      <c r="O321" s="3" t="s">
        <v>21</v>
      </c>
    </row>
    <row r="322" spans="1:15" x14ac:dyDescent="0.3">
      <c r="A322" s="1" t="s">
        <v>666</v>
      </c>
      <c r="B322" s="1" t="s">
        <v>592</v>
      </c>
      <c r="C322" s="2">
        <v>27483.87</v>
      </c>
      <c r="D322" s="1" t="s">
        <v>17</v>
      </c>
      <c r="E322" s="1" t="s">
        <v>25</v>
      </c>
      <c r="F322" s="1" t="s">
        <v>30</v>
      </c>
      <c r="G322" s="1" t="s">
        <v>46</v>
      </c>
      <c r="H322" s="1">
        <v>1163</v>
      </c>
      <c r="I322" s="1">
        <v>16</v>
      </c>
      <c r="J322" s="1">
        <v>2</v>
      </c>
      <c r="K322" s="2">
        <v>10777.1</v>
      </c>
      <c r="L322" s="1">
        <v>0</v>
      </c>
      <c r="M322" s="1">
        <v>0.309</v>
      </c>
      <c r="N322" s="1">
        <v>3</v>
      </c>
      <c r="O322" s="3" t="s">
        <v>21</v>
      </c>
    </row>
    <row r="323" spans="1:15" x14ac:dyDescent="0.3">
      <c r="A323" s="1" t="s">
        <v>667</v>
      </c>
      <c r="B323" s="1" t="s">
        <v>668</v>
      </c>
      <c r="C323" s="2">
        <v>35744.07</v>
      </c>
      <c r="D323" s="1" t="s">
        <v>17</v>
      </c>
      <c r="E323" s="1" t="s">
        <v>29</v>
      </c>
      <c r="F323" s="1" t="s">
        <v>26</v>
      </c>
      <c r="G323" s="1" t="s">
        <v>46</v>
      </c>
      <c r="H323" s="1">
        <v>1961</v>
      </c>
      <c r="I323" s="1">
        <v>19</v>
      </c>
      <c r="J323" s="1">
        <v>1</v>
      </c>
      <c r="K323" s="2">
        <v>21493.89</v>
      </c>
      <c r="L323" s="1">
        <v>0</v>
      </c>
      <c r="M323" s="1">
        <v>0.69499999999999995</v>
      </c>
      <c r="N323" s="1">
        <v>9</v>
      </c>
      <c r="O323" s="3" t="s">
        <v>21</v>
      </c>
    </row>
    <row r="324" spans="1:15" x14ac:dyDescent="0.3">
      <c r="A324" s="1" t="s">
        <v>669</v>
      </c>
      <c r="B324" s="1" t="s">
        <v>670</v>
      </c>
      <c r="C324" s="2">
        <v>33026.86</v>
      </c>
      <c r="D324" s="1" t="s">
        <v>17</v>
      </c>
      <c r="E324" s="1" t="s">
        <v>25</v>
      </c>
      <c r="F324" s="1" t="s">
        <v>30</v>
      </c>
      <c r="G324" s="1" t="s">
        <v>36</v>
      </c>
      <c r="H324" s="1">
        <v>1211</v>
      </c>
      <c r="I324" s="1">
        <v>17</v>
      </c>
      <c r="J324" s="1">
        <v>3</v>
      </c>
      <c r="K324" s="2">
        <v>27153.33</v>
      </c>
      <c r="L324" s="1">
        <v>0</v>
      </c>
      <c r="M324" s="1">
        <v>0.66400000000000003</v>
      </c>
      <c r="N324" s="1">
        <v>3</v>
      </c>
      <c r="O324" s="3" t="s">
        <v>21</v>
      </c>
    </row>
    <row r="325" spans="1:15" x14ac:dyDescent="0.3">
      <c r="A325" s="1" t="s">
        <v>671</v>
      </c>
      <c r="B325" s="1" t="s">
        <v>672</v>
      </c>
      <c r="C325" s="2">
        <v>14032.7</v>
      </c>
      <c r="D325" s="1" t="s">
        <v>51</v>
      </c>
      <c r="E325" s="1" t="s">
        <v>39</v>
      </c>
      <c r="F325" s="1" t="s">
        <v>19</v>
      </c>
      <c r="G325" s="1" t="s">
        <v>36</v>
      </c>
      <c r="H325" s="1">
        <v>104</v>
      </c>
      <c r="I325" s="1">
        <v>18</v>
      </c>
      <c r="J325" s="1">
        <v>3</v>
      </c>
      <c r="K325" s="2">
        <v>15017.03</v>
      </c>
      <c r="L325" s="1">
        <v>0</v>
      </c>
      <c r="M325" s="1">
        <v>0.42199999999999999</v>
      </c>
      <c r="N325" s="1">
        <v>3</v>
      </c>
      <c r="O325" s="3" t="s">
        <v>21</v>
      </c>
    </row>
    <row r="326" spans="1:15" x14ac:dyDescent="0.3">
      <c r="A326" s="1" t="s">
        <v>673</v>
      </c>
      <c r="B326" s="1" t="s">
        <v>674</v>
      </c>
      <c r="C326" s="2">
        <v>47745.52</v>
      </c>
      <c r="D326" s="1" t="s">
        <v>24</v>
      </c>
      <c r="E326" s="1" t="s">
        <v>39</v>
      </c>
      <c r="F326" s="1" t="s">
        <v>30</v>
      </c>
      <c r="G326" s="1" t="s">
        <v>31</v>
      </c>
      <c r="H326" s="1">
        <v>1350</v>
      </c>
      <c r="I326" s="1">
        <v>14</v>
      </c>
      <c r="J326" s="1">
        <v>4</v>
      </c>
      <c r="K326" s="2">
        <v>11549.4</v>
      </c>
      <c r="L326" s="1">
        <v>0</v>
      </c>
      <c r="M326" s="1">
        <v>0.35399999999999998</v>
      </c>
      <c r="N326" s="1">
        <v>2</v>
      </c>
      <c r="O326" s="3" t="s">
        <v>21</v>
      </c>
    </row>
    <row r="327" spans="1:15" x14ac:dyDescent="0.3">
      <c r="A327" s="1" t="s">
        <v>675</v>
      </c>
      <c r="B327" s="1" t="s">
        <v>676</v>
      </c>
      <c r="C327" s="2">
        <v>36907.949999999997</v>
      </c>
      <c r="D327" s="1" t="s">
        <v>51</v>
      </c>
      <c r="E327" s="1" t="s">
        <v>25</v>
      </c>
      <c r="F327" s="1" t="s">
        <v>30</v>
      </c>
      <c r="G327" s="1" t="s">
        <v>56</v>
      </c>
      <c r="H327" s="1">
        <v>916</v>
      </c>
      <c r="I327" s="1">
        <v>1</v>
      </c>
      <c r="J327" s="1">
        <v>2</v>
      </c>
      <c r="K327" s="2">
        <v>15704.72</v>
      </c>
      <c r="L327" s="1">
        <v>0</v>
      </c>
      <c r="M327" s="1">
        <v>0.62</v>
      </c>
      <c r="N327" s="1">
        <v>4</v>
      </c>
      <c r="O327" s="3" t="s">
        <v>21</v>
      </c>
    </row>
    <row r="328" spans="1:15" x14ac:dyDescent="0.3">
      <c r="A328" s="1" t="s">
        <v>677</v>
      </c>
      <c r="B328" s="1" t="s">
        <v>678</v>
      </c>
      <c r="C328" s="2">
        <v>27739.98</v>
      </c>
      <c r="D328" s="1" t="s">
        <v>51</v>
      </c>
      <c r="E328" s="1" t="s">
        <v>29</v>
      </c>
      <c r="F328" s="1" t="s">
        <v>26</v>
      </c>
      <c r="G328" s="1" t="s">
        <v>56</v>
      </c>
      <c r="H328" s="1">
        <v>1134</v>
      </c>
      <c r="I328" s="1">
        <v>3</v>
      </c>
      <c r="J328" s="1">
        <v>0</v>
      </c>
      <c r="K328" s="2">
        <v>18146.23</v>
      </c>
      <c r="L328" s="1">
        <v>0</v>
      </c>
      <c r="M328" s="1">
        <v>0.312</v>
      </c>
      <c r="N328" s="1">
        <v>8</v>
      </c>
      <c r="O328" s="3" t="s">
        <v>21</v>
      </c>
    </row>
    <row r="329" spans="1:15" x14ac:dyDescent="0.3">
      <c r="A329" s="1" t="s">
        <v>679</v>
      </c>
      <c r="B329" s="1" t="s">
        <v>680</v>
      </c>
      <c r="C329" s="2">
        <v>30605.45</v>
      </c>
      <c r="D329" s="1" t="s">
        <v>17</v>
      </c>
      <c r="E329" s="1" t="s">
        <v>39</v>
      </c>
      <c r="F329" s="1" t="s">
        <v>26</v>
      </c>
      <c r="G329" s="1" t="s">
        <v>31</v>
      </c>
      <c r="H329" s="1">
        <v>1229</v>
      </c>
      <c r="I329" s="1">
        <v>0</v>
      </c>
      <c r="J329" s="1">
        <v>1</v>
      </c>
      <c r="K329" s="2">
        <v>25446.31</v>
      </c>
      <c r="L329" s="1">
        <v>0</v>
      </c>
      <c r="M329" s="1">
        <v>0.96299999999999997</v>
      </c>
      <c r="N329" s="1">
        <v>6</v>
      </c>
      <c r="O329" s="3" t="s">
        <v>21</v>
      </c>
    </row>
    <row r="330" spans="1:15" x14ac:dyDescent="0.3">
      <c r="A330" s="1" t="s">
        <v>681</v>
      </c>
      <c r="B330" s="1" t="s">
        <v>682</v>
      </c>
      <c r="C330" s="2">
        <v>21009.02</v>
      </c>
      <c r="D330" s="1" t="s">
        <v>17</v>
      </c>
      <c r="E330" s="1" t="s">
        <v>29</v>
      </c>
      <c r="F330" s="1" t="s">
        <v>19</v>
      </c>
      <c r="G330" s="1" t="s">
        <v>36</v>
      </c>
      <c r="H330" s="1">
        <v>811</v>
      </c>
      <c r="I330" s="1">
        <v>7</v>
      </c>
      <c r="J330" s="1">
        <v>2</v>
      </c>
      <c r="K330" s="2">
        <v>11894.94</v>
      </c>
      <c r="L330" s="1">
        <v>0</v>
      </c>
      <c r="M330" s="1">
        <v>0.59599999999999997</v>
      </c>
      <c r="N330" s="1">
        <v>1</v>
      </c>
      <c r="O330" s="3" t="s">
        <v>21</v>
      </c>
    </row>
    <row r="331" spans="1:15" x14ac:dyDescent="0.3">
      <c r="A331" s="1" t="s">
        <v>683</v>
      </c>
      <c r="B331" s="1" t="s">
        <v>684</v>
      </c>
      <c r="C331" s="2">
        <v>12424.16</v>
      </c>
      <c r="D331" s="1" t="s">
        <v>17</v>
      </c>
      <c r="E331" s="1" t="s">
        <v>29</v>
      </c>
      <c r="F331" s="1" t="s">
        <v>26</v>
      </c>
      <c r="G331" s="1" t="s">
        <v>20</v>
      </c>
      <c r="H331" s="1">
        <v>217</v>
      </c>
      <c r="I331" s="1">
        <v>19</v>
      </c>
      <c r="J331" s="1">
        <v>0</v>
      </c>
      <c r="K331" s="2">
        <v>1637.8</v>
      </c>
      <c r="L331" s="1">
        <v>0</v>
      </c>
      <c r="M331" s="1">
        <v>0.59199999999999997</v>
      </c>
      <c r="N331" s="1">
        <v>5</v>
      </c>
      <c r="O331" s="3" t="s">
        <v>21</v>
      </c>
    </row>
    <row r="332" spans="1:15" x14ac:dyDescent="0.3">
      <c r="A332" s="1" t="s">
        <v>685</v>
      </c>
      <c r="B332" s="1" t="s">
        <v>686</v>
      </c>
      <c r="C332" s="2">
        <v>17830.84</v>
      </c>
      <c r="D332" s="1" t="s">
        <v>24</v>
      </c>
      <c r="E332" s="1" t="s">
        <v>39</v>
      </c>
      <c r="F332" s="1" t="s">
        <v>19</v>
      </c>
      <c r="G332" s="1" t="s">
        <v>31</v>
      </c>
      <c r="H332" s="1">
        <v>616</v>
      </c>
      <c r="I332" s="1">
        <v>13</v>
      </c>
      <c r="J332" s="1">
        <v>2</v>
      </c>
      <c r="K332" s="2">
        <v>18958.939999999999</v>
      </c>
      <c r="L332" s="1">
        <v>0</v>
      </c>
      <c r="M332" s="1">
        <v>0.13600000000000001</v>
      </c>
      <c r="N332" s="1">
        <v>8</v>
      </c>
      <c r="O332" s="3" t="s">
        <v>21</v>
      </c>
    </row>
    <row r="333" spans="1:15" x14ac:dyDescent="0.3">
      <c r="A333" s="1" t="s">
        <v>687</v>
      </c>
      <c r="B333" s="1" t="s">
        <v>688</v>
      </c>
      <c r="C333" s="2">
        <v>37904.410000000003</v>
      </c>
      <c r="D333" s="1" t="s">
        <v>24</v>
      </c>
      <c r="E333" s="1" t="s">
        <v>18</v>
      </c>
      <c r="F333" s="1" t="s">
        <v>19</v>
      </c>
      <c r="G333" s="1" t="s">
        <v>56</v>
      </c>
      <c r="H333" s="1">
        <v>482</v>
      </c>
      <c r="I333" s="1">
        <v>10</v>
      </c>
      <c r="J333" s="1">
        <v>1</v>
      </c>
      <c r="K333" s="2">
        <v>29607.66</v>
      </c>
      <c r="L333" s="1">
        <v>0</v>
      </c>
      <c r="M333" s="1">
        <v>0.61</v>
      </c>
      <c r="N333" s="1">
        <v>1</v>
      </c>
      <c r="O333" s="3" t="s">
        <v>21</v>
      </c>
    </row>
    <row r="334" spans="1:15" x14ac:dyDescent="0.3">
      <c r="A334" s="1" t="s">
        <v>689</v>
      </c>
      <c r="B334" s="1" t="s">
        <v>690</v>
      </c>
      <c r="C334" s="2">
        <v>768.95</v>
      </c>
      <c r="D334" s="1" t="s">
        <v>24</v>
      </c>
      <c r="E334" s="1" t="s">
        <v>18</v>
      </c>
      <c r="F334" s="1" t="s">
        <v>26</v>
      </c>
      <c r="G334" s="1" t="s">
        <v>31</v>
      </c>
      <c r="H334" s="1">
        <v>1648</v>
      </c>
      <c r="I334" s="1">
        <v>23</v>
      </c>
      <c r="J334" s="1">
        <v>1</v>
      </c>
      <c r="K334" s="2">
        <v>25641.68</v>
      </c>
      <c r="L334" s="1">
        <v>0</v>
      </c>
      <c r="M334" s="1">
        <v>0.29499999999999998</v>
      </c>
      <c r="N334" s="1">
        <v>6</v>
      </c>
      <c r="O334" s="3" t="s">
        <v>21</v>
      </c>
    </row>
    <row r="335" spans="1:15" x14ac:dyDescent="0.3">
      <c r="A335" s="1" t="s">
        <v>691</v>
      </c>
      <c r="B335" s="1" t="s">
        <v>692</v>
      </c>
      <c r="C335" s="2">
        <v>5847.83</v>
      </c>
      <c r="D335" s="1" t="s">
        <v>51</v>
      </c>
      <c r="E335" s="1" t="s">
        <v>29</v>
      </c>
      <c r="F335" s="1" t="s">
        <v>30</v>
      </c>
      <c r="G335" s="1" t="s">
        <v>31</v>
      </c>
      <c r="H335" s="1">
        <v>1041</v>
      </c>
      <c r="I335" s="1">
        <v>23</v>
      </c>
      <c r="J335" s="1">
        <v>4</v>
      </c>
      <c r="K335" s="2">
        <v>22771.85</v>
      </c>
      <c r="L335" s="1">
        <v>0</v>
      </c>
      <c r="M335" s="1">
        <v>0.45200000000000001</v>
      </c>
      <c r="N335" s="1">
        <v>7</v>
      </c>
      <c r="O335" s="3" t="s">
        <v>21</v>
      </c>
    </row>
    <row r="336" spans="1:15" x14ac:dyDescent="0.3">
      <c r="A336" s="1" t="s">
        <v>693</v>
      </c>
      <c r="B336" s="1" t="s">
        <v>694</v>
      </c>
      <c r="C336" s="2">
        <v>2347.83</v>
      </c>
      <c r="D336" s="1" t="s">
        <v>17</v>
      </c>
      <c r="E336" s="1" t="s">
        <v>39</v>
      </c>
      <c r="F336" s="1" t="s">
        <v>26</v>
      </c>
      <c r="G336" s="1" t="s">
        <v>46</v>
      </c>
      <c r="H336" s="1">
        <v>145</v>
      </c>
      <c r="I336" s="1">
        <v>13</v>
      </c>
      <c r="J336" s="1">
        <v>3</v>
      </c>
      <c r="K336" s="2">
        <v>5377.41</v>
      </c>
      <c r="L336" s="1">
        <v>0</v>
      </c>
      <c r="M336" s="1">
        <v>0.53800000000000003</v>
      </c>
      <c r="N336" s="1">
        <v>5</v>
      </c>
      <c r="O336" s="3" t="s">
        <v>21</v>
      </c>
    </row>
    <row r="337" spans="1:15" x14ac:dyDescent="0.3">
      <c r="A337" s="1" t="s">
        <v>695</v>
      </c>
      <c r="B337" s="1" t="s">
        <v>696</v>
      </c>
      <c r="C337" s="2">
        <v>2084.4</v>
      </c>
      <c r="D337" s="1" t="s">
        <v>51</v>
      </c>
      <c r="E337" s="1" t="s">
        <v>18</v>
      </c>
      <c r="F337" s="1" t="s">
        <v>30</v>
      </c>
      <c r="G337" s="1" t="s">
        <v>36</v>
      </c>
      <c r="H337" s="1">
        <v>619</v>
      </c>
      <c r="I337" s="1">
        <v>15</v>
      </c>
      <c r="J337" s="1">
        <v>3</v>
      </c>
      <c r="K337" s="2">
        <v>22483.71</v>
      </c>
      <c r="L337" s="1">
        <v>1</v>
      </c>
      <c r="M337" s="1">
        <v>0.47799999999999998</v>
      </c>
      <c r="N337" s="1">
        <v>4</v>
      </c>
      <c r="O337" s="3" t="s">
        <v>21</v>
      </c>
    </row>
    <row r="338" spans="1:15" x14ac:dyDescent="0.3">
      <c r="A338" s="1" t="s">
        <v>697</v>
      </c>
      <c r="B338" s="1" t="s">
        <v>698</v>
      </c>
      <c r="C338" s="2">
        <v>42780.26</v>
      </c>
      <c r="D338" s="1" t="s">
        <v>24</v>
      </c>
      <c r="E338" s="1" t="s">
        <v>25</v>
      </c>
      <c r="F338" s="1" t="s">
        <v>30</v>
      </c>
      <c r="G338" s="1" t="s">
        <v>46</v>
      </c>
      <c r="H338" s="1">
        <v>920</v>
      </c>
      <c r="I338" s="1">
        <v>9</v>
      </c>
      <c r="J338" s="1">
        <v>3</v>
      </c>
      <c r="K338" s="2">
        <v>2536.15</v>
      </c>
      <c r="L338" s="1">
        <v>0</v>
      </c>
      <c r="M338" s="1">
        <v>0.80900000000000005</v>
      </c>
      <c r="N338" s="1">
        <v>7</v>
      </c>
      <c r="O338" s="3" t="s">
        <v>21</v>
      </c>
    </row>
    <row r="339" spans="1:15" x14ac:dyDescent="0.3">
      <c r="A339" s="1" t="s">
        <v>699</v>
      </c>
      <c r="B339" s="1" t="s">
        <v>700</v>
      </c>
      <c r="C339" s="2">
        <v>35197.71</v>
      </c>
      <c r="D339" s="1" t="s">
        <v>17</v>
      </c>
      <c r="E339" s="1" t="s">
        <v>29</v>
      </c>
      <c r="F339" s="1" t="s">
        <v>19</v>
      </c>
      <c r="G339" s="1" t="s">
        <v>36</v>
      </c>
      <c r="H339" s="1">
        <v>270</v>
      </c>
      <c r="I339" s="1">
        <v>6</v>
      </c>
      <c r="J339" s="1">
        <v>4</v>
      </c>
      <c r="K339" s="2">
        <v>14868.15</v>
      </c>
      <c r="L339" s="1">
        <v>1</v>
      </c>
      <c r="M339" s="1">
        <v>9.9000000000000005E-2</v>
      </c>
      <c r="N339" s="1">
        <v>9</v>
      </c>
      <c r="O339" s="3" t="s">
        <v>21</v>
      </c>
    </row>
    <row r="340" spans="1:15" x14ac:dyDescent="0.3">
      <c r="A340" s="1" t="s">
        <v>701</v>
      </c>
      <c r="B340" s="1" t="s">
        <v>702</v>
      </c>
      <c r="C340" s="2">
        <v>23734.98</v>
      </c>
      <c r="D340" s="1" t="s">
        <v>24</v>
      </c>
      <c r="E340" s="1" t="s">
        <v>18</v>
      </c>
      <c r="F340" s="1" t="s">
        <v>19</v>
      </c>
      <c r="G340" s="1" t="s">
        <v>31</v>
      </c>
      <c r="H340" s="1">
        <v>1180</v>
      </c>
      <c r="I340" s="1">
        <v>15</v>
      </c>
      <c r="J340" s="1">
        <v>3</v>
      </c>
      <c r="K340" s="2">
        <v>11189.9</v>
      </c>
      <c r="L340" s="1">
        <v>0</v>
      </c>
      <c r="M340" s="1">
        <v>0.16700000000000001</v>
      </c>
      <c r="N340" s="1">
        <v>4</v>
      </c>
      <c r="O340" s="3" t="s">
        <v>21</v>
      </c>
    </row>
    <row r="341" spans="1:15" x14ac:dyDescent="0.3">
      <c r="A341" s="1" t="s">
        <v>703</v>
      </c>
      <c r="B341" s="1" t="s">
        <v>704</v>
      </c>
      <c r="C341" s="2">
        <v>4936.82</v>
      </c>
      <c r="D341" s="1" t="s">
        <v>17</v>
      </c>
      <c r="E341" s="1" t="s">
        <v>39</v>
      </c>
      <c r="F341" s="1" t="s">
        <v>26</v>
      </c>
      <c r="G341" s="1" t="s">
        <v>36</v>
      </c>
      <c r="H341" s="1">
        <v>467</v>
      </c>
      <c r="I341" s="1">
        <v>3</v>
      </c>
      <c r="J341" s="1">
        <v>2</v>
      </c>
      <c r="K341" s="2">
        <v>27168.06</v>
      </c>
      <c r="L341" s="1">
        <v>0</v>
      </c>
      <c r="M341" s="1">
        <v>0.157</v>
      </c>
      <c r="N341" s="1">
        <v>3</v>
      </c>
      <c r="O341" s="3" t="s">
        <v>21</v>
      </c>
    </row>
    <row r="342" spans="1:15" x14ac:dyDescent="0.3">
      <c r="A342" s="1" t="s">
        <v>705</v>
      </c>
      <c r="B342" s="1" t="s">
        <v>706</v>
      </c>
      <c r="C342" s="2">
        <v>24606.21</v>
      </c>
      <c r="D342" s="1" t="s">
        <v>17</v>
      </c>
      <c r="E342" s="1" t="s">
        <v>39</v>
      </c>
      <c r="F342" s="1" t="s">
        <v>30</v>
      </c>
      <c r="G342" s="1" t="s">
        <v>56</v>
      </c>
      <c r="H342" s="1">
        <v>1938</v>
      </c>
      <c r="I342" s="1">
        <v>11</v>
      </c>
      <c r="J342" s="1">
        <v>3</v>
      </c>
      <c r="K342" s="2">
        <v>4879.09</v>
      </c>
      <c r="L342" s="1">
        <v>0</v>
      </c>
      <c r="M342" s="1">
        <v>0.81699999999999995</v>
      </c>
      <c r="N342" s="1">
        <v>4</v>
      </c>
      <c r="O342" s="4" t="s">
        <v>1936</v>
      </c>
    </row>
    <row r="343" spans="1:15" x14ac:dyDescent="0.3">
      <c r="A343" s="1" t="s">
        <v>707</v>
      </c>
      <c r="B343" s="1" t="s">
        <v>708</v>
      </c>
      <c r="C343" s="2">
        <v>23699.91</v>
      </c>
      <c r="D343" s="1" t="s">
        <v>51</v>
      </c>
      <c r="E343" s="1" t="s">
        <v>29</v>
      </c>
      <c r="F343" s="1" t="s">
        <v>26</v>
      </c>
      <c r="G343" s="1" t="s">
        <v>46</v>
      </c>
      <c r="H343" s="1">
        <v>1730</v>
      </c>
      <c r="I343" s="1">
        <v>11</v>
      </c>
      <c r="J343" s="1">
        <v>3</v>
      </c>
      <c r="K343" s="2">
        <v>23687.66</v>
      </c>
      <c r="L343" s="1">
        <v>0</v>
      </c>
      <c r="M343" s="1">
        <v>0.11799999999999999</v>
      </c>
      <c r="N343" s="1">
        <v>5</v>
      </c>
      <c r="O343" s="4" t="s">
        <v>1936</v>
      </c>
    </row>
    <row r="344" spans="1:15" x14ac:dyDescent="0.3">
      <c r="A344" s="1" t="s">
        <v>709</v>
      </c>
      <c r="B344" s="1" t="s">
        <v>710</v>
      </c>
      <c r="C344" s="2">
        <v>8701.43</v>
      </c>
      <c r="D344" s="1" t="s">
        <v>51</v>
      </c>
      <c r="E344" s="1" t="s">
        <v>39</v>
      </c>
      <c r="F344" s="1" t="s">
        <v>19</v>
      </c>
      <c r="G344" s="1" t="s">
        <v>31</v>
      </c>
      <c r="H344" s="1">
        <v>1471</v>
      </c>
      <c r="I344" s="1">
        <v>1</v>
      </c>
      <c r="J344" s="1">
        <v>1</v>
      </c>
      <c r="K344" s="2">
        <v>1550.51</v>
      </c>
      <c r="L344" s="1">
        <v>0</v>
      </c>
      <c r="M344" s="1">
        <v>0.97099999999999997</v>
      </c>
      <c r="N344" s="1">
        <v>9</v>
      </c>
      <c r="O344" s="3" t="s">
        <v>21</v>
      </c>
    </row>
    <row r="345" spans="1:15" x14ac:dyDescent="0.3">
      <c r="A345" s="1" t="s">
        <v>711</v>
      </c>
      <c r="B345" s="1" t="s">
        <v>712</v>
      </c>
      <c r="C345" s="2">
        <v>21720.89</v>
      </c>
      <c r="D345" s="1" t="s">
        <v>24</v>
      </c>
      <c r="E345" s="1" t="s">
        <v>25</v>
      </c>
      <c r="F345" s="1" t="s">
        <v>30</v>
      </c>
      <c r="G345" s="1" t="s">
        <v>56</v>
      </c>
      <c r="H345" s="1">
        <v>1446</v>
      </c>
      <c r="I345" s="1">
        <v>5</v>
      </c>
      <c r="J345" s="1">
        <v>4</v>
      </c>
      <c r="K345" s="2">
        <v>21082.47</v>
      </c>
      <c r="L345" s="1">
        <v>0</v>
      </c>
      <c r="M345" s="1">
        <v>0.96899999999999997</v>
      </c>
      <c r="N345" s="1">
        <v>1</v>
      </c>
      <c r="O345" s="3" t="s">
        <v>21</v>
      </c>
    </row>
    <row r="346" spans="1:15" x14ac:dyDescent="0.3">
      <c r="A346" s="1" t="s">
        <v>713</v>
      </c>
      <c r="B346" s="1" t="s">
        <v>714</v>
      </c>
      <c r="C346" s="2">
        <v>19955.310000000001</v>
      </c>
      <c r="D346" s="1" t="s">
        <v>51</v>
      </c>
      <c r="E346" s="1" t="s">
        <v>25</v>
      </c>
      <c r="F346" s="1" t="s">
        <v>26</v>
      </c>
      <c r="G346" s="1" t="s">
        <v>36</v>
      </c>
      <c r="H346" s="1">
        <v>1533</v>
      </c>
      <c r="I346" s="1">
        <v>19</v>
      </c>
      <c r="J346" s="1">
        <v>4</v>
      </c>
      <c r="K346" s="2">
        <v>8883.9699999999993</v>
      </c>
      <c r="L346" s="1">
        <v>0</v>
      </c>
      <c r="M346" s="1">
        <v>0.99199999999999999</v>
      </c>
      <c r="N346" s="1">
        <v>9</v>
      </c>
      <c r="O346" s="3" t="s">
        <v>21</v>
      </c>
    </row>
    <row r="347" spans="1:15" x14ac:dyDescent="0.3">
      <c r="A347" s="1" t="s">
        <v>715</v>
      </c>
      <c r="B347" s="1" t="s">
        <v>716</v>
      </c>
      <c r="C347" s="2">
        <v>30811.71</v>
      </c>
      <c r="D347" s="1" t="s">
        <v>51</v>
      </c>
      <c r="E347" s="1" t="s">
        <v>18</v>
      </c>
      <c r="F347" s="1" t="s">
        <v>26</v>
      </c>
      <c r="G347" s="1" t="s">
        <v>36</v>
      </c>
      <c r="H347" s="1">
        <v>241</v>
      </c>
      <c r="I347" s="1">
        <v>14</v>
      </c>
      <c r="J347" s="1">
        <v>3</v>
      </c>
      <c r="K347" s="2">
        <v>29279.81</v>
      </c>
      <c r="L347" s="1">
        <v>0</v>
      </c>
      <c r="M347" s="1">
        <v>0.98</v>
      </c>
      <c r="N347" s="1">
        <v>9</v>
      </c>
      <c r="O347" s="3" t="s">
        <v>21</v>
      </c>
    </row>
    <row r="348" spans="1:15" x14ac:dyDescent="0.3">
      <c r="A348" s="1" t="s">
        <v>717</v>
      </c>
      <c r="B348" s="1" t="s">
        <v>718</v>
      </c>
      <c r="C348" s="2">
        <v>31772.93</v>
      </c>
      <c r="D348" s="1" t="s">
        <v>51</v>
      </c>
      <c r="E348" s="1" t="s">
        <v>39</v>
      </c>
      <c r="F348" s="1" t="s">
        <v>19</v>
      </c>
      <c r="G348" s="1" t="s">
        <v>56</v>
      </c>
      <c r="H348" s="1">
        <v>110</v>
      </c>
      <c r="I348" s="1">
        <v>14</v>
      </c>
      <c r="J348" s="1">
        <v>0</v>
      </c>
      <c r="K348" s="2">
        <v>20185.13</v>
      </c>
      <c r="L348" s="1">
        <v>0</v>
      </c>
      <c r="M348" s="1">
        <v>0.14899999999999999</v>
      </c>
      <c r="N348" s="1">
        <v>8</v>
      </c>
      <c r="O348" s="3" t="s">
        <v>21</v>
      </c>
    </row>
    <row r="349" spans="1:15" x14ac:dyDescent="0.3">
      <c r="A349" s="1" t="s">
        <v>719</v>
      </c>
      <c r="B349" s="1" t="s">
        <v>720</v>
      </c>
      <c r="C349" s="2">
        <v>2312.94</v>
      </c>
      <c r="D349" s="1" t="s">
        <v>17</v>
      </c>
      <c r="E349" s="1" t="s">
        <v>25</v>
      </c>
      <c r="F349" s="1" t="s">
        <v>19</v>
      </c>
      <c r="G349" s="1" t="s">
        <v>36</v>
      </c>
      <c r="H349" s="1">
        <v>156</v>
      </c>
      <c r="I349" s="1">
        <v>21</v>
      </c>
      <c r="J349" s="1">
        <v>1</v>
      </c>
      <c r="K349" s="2">
        <v>9336.27</v>
      </c>
      <c r="L349" s="1">
        <v>0</v>
      </c>
      <c r="M349" s="1">
        <v>0.65700000000000003</v>
      </c>
      <c r="N349" s="1">
        <v>8</v>
      </c>
      <c r="O349" s="3" t="s">
        <v>21</v>
      </c>
    </row>
    <row r="350" spans="1:15" x14ac:dyDescent="0.3">
      <c r="A350" s="1" t="s">
        <v>721</v>
      </c>
      <c r="B350" s="1" t="s">
        <v>722</v>
      </c>
      <c r="C350" s="2">
        <v>18761.900000000001</v>
      </c>
      <c r="D350" s="1" t="s">
        <v>51</v>
      </c>
      <c r="E350" s="1" t="s">
        <v>29</v>
      </c>
      <c r="F350" s="1" t="s">
        <v>19</v>
      </c>
      <c r="G350" s="1" t="s">
        <v>46</v>
      </c>
      <c r="H350" s="1">
        <v>726</v>
      </c>
      <c r="I350" s="1">
        <v>15</v>
      </c>
      <c r="J350" s="1">
        <v>3</v>
      </c>
      <c r="K350" s="2">
        <v>7142.08</v>
      </c>
      <c r="L350" s="1">
        <v>0</v>
      </c>
      <c r="M350" s="1">
        <v>0.4</v>
      </c>
      <c r="N350" s="1">
        <v>8</v>
      </c>
      <c r="O350" s="4" t="s">
        <v>1936</v>
      </c>
    </row>
    <row r="351" spans="1:15" x14ac:dyDescent="0.3">
      <c r="A351" s="1" t="s">
        <v>723</v>
      </c>
      <c r="B351" s="1" t="s">
        <v>724</v>
      </c>
      <c r="C351" s="2">
        <v>31311.7</v>
      </c>
      <c r="D351" s="1" t="s">
        <v>24</v>
      </c>
      <c r="E351" s="1" t="s">
        <v>39</v>
      </c>
      <c r="F351" s="1" t="s">
        <v>19</v>
      </c>
      <c r="G351" s="1" t="s">
        <v>20</v>
      </c>
      <c r="H351" s="1">
        <v>516</v>
      </c>
      <c r="I351" s="1">
        <v>23</v>
      </c>
      <c r="J351" s="1">
        <v>0</v>
      </c>
      <c r="K351" s="2">
        <v>19215.330000000002</v>
      </c>
      <c r="L351" s="1">
        <v>0</v>
      </c>
      <c r="M351" s="1">
        <v>0.73199999999999998</v>
      </c>
      <c r="N351" s="1">
        <v>4</v>
      </c>
      <c r="O351" s="3" t="s">
        <v>21</v>
      </c>
    </row>
    <row r="352" spans="1:15" x14ac:dyDescent="0.3">
      <c r="A352" s="1" t="s">
        <v>725</v>
      </c>
      <c r="B352" s="1" t="s">
        <v>726</v>
      </c>
      <c r="C352" s="2">
        <v>25181.66</v>
      </c>
      <c r="D352" s="1" t="s">
        <v>17</v>
      </c>
      <c r="E352" s="1" t="s">
        <v>18</v>
      </c>
      <c r="F352" s="1" t="s">
        <v>26</v>
      </c>
      <c r="G352" s="1" t="s">
        <v>36</v>
      </c>
      <c r="H352" s="1">
        <v>567</v>
      </c>
      <c r="I352" s="1">
        <v>2</v>
      </c>
      <c r="J352" s="1">
        <v>2</v>
      </c>
      <c r="K352" s="2">
        <v>8254.64</v>
      </c>
      <c r="L352" s="1">
        <v>0</v>
      </c>
      <c r="M352" s="1">
        <v>0.40600000000000003</v>
      </c>
      <c r="N352" s="1">
        <v>7</v>
      </c>
      <c r="O352" s="3" t="s">
        <v>21</v>
      </c>
    </row>
    <row r="353" spans="1:15" x14ac:dyDescent="0.3">
      <c r="A353" s="1" t="s">
        <v>727</v>
      </c>
      <c r="B353" s="1" t="s">
        <v>728</v>
      </c>
      <c r="C353" s="2">
        <v>42831.67</v>
      </c>
      <c r="D353" s="1" t="s">
        <v>17</v>
      </c>
      <c r="E353" s="1" t="s">
        <v>29</v>
      </c>
      <c r="F353" s="1" t="s">
        <v>19</v>
      </c>
      <c r="G353" s="1" t="s">
        <v>31</v>
      </c>
      <c r="H353" s="1">
        <v>113</v>
      </c>
      <c r="I353" s="1">
        <v>0</v>
      </c>
      <c r="J353" s="1">
        <v>1</v>
      </c>
      <c r="K353" s="2">
        <v>5685.48</v>
      </c>
      <c r="L353" s="1">
        <v>0</v>
      </c>
      <c r="M353" s="1">
        <v>0.38300000000000001</v>
      </c>
      <c r="N353" s="1">
        <v>2</v>
      </c>
      <c r="O353" s="3" t="s">
        <v>21</v>
      </c>
    </row>
    <row r="354" spans="1:15" x14ac:dyDescent="0.3">
      <c r="A354" s="1" t="s">
        <v>729</v>
      </c>
      <c r="B354" s="1" t="s">
        <v>730</v>
      </c>
      <c r="C354" s="2">
        <v>32951.75</v>
      </c>
      <c r="D354" s="1" t="s">
        <v>51</v>
      </c>
      <c r="E354" s="1" t="s">
        <v>29</v>
      </c>
      <c r="F354" s="1" t="s">
        <v>19</v>
      </c>
      <c r="G354" s="1" t="s">
        <v>36</v>
      </c>
      <c r="H354" s="1">
        <v>345</v>
      </c>
      <c r="I354" s="1">
        <v>20</v>
      </c>
      <c r="J354" s="1">
        <v>4</v>
      </c>
      <c r="K354" s="2">
        <v>19465.32</v>
      </c>
      <c r="L354" s="1">
        <v>0</v>
      </c>
      <c r="M354" s="1">
        <v>0.90400000000000003</v>
      </c>
      <c r="N354" s="1">
        <v>3</v>
      </c>
      <c r="O354" s="3" t="s">
        <v>21</v>
      </c>
    </row>
    <row r="355" spans="1:15" x14ac:dyDescent="0.3">
      <c r="A355" s="1" t="s">
        <v>731</v>
      </c>
      <c r="B355" s="1" t="s">
        <v>732</v>
      </c>
      <c r="C355" s="2">
        <v>8188.57</v>
      </c>
      <c r="D355" s="1" t="s">
        <v>17</v>
      </c>
      <c r="E355" s="1" t="s">
        <v>29</v>
      </c>
      <c r="F355" s="1" t="s">
        <v>26</v>
      </c>
      <c r="G355" s="1" t="s">
        <v>31</v>
      </c>
      <c r="H355" s="1">
        <v>455</v>
      </c>
      <c r="I355" s="1">
        <v>11</v>
      </c>
      <c r="J355" s="1">
        <v>0</v>
      </c>
      <c r="K355" s="2">
        <v>21756.18</v>
      </c>
      <c r="L355" s="1">
        <v>0</v>
      </c>
      <c r="M355" s="1">
        <v>0.495</v>
      </c>
      <c r="N355" s="1">
        <v>8</v>
      </c>
      <c r="O355" s="3" t="s">
        <v>21</v>
      </c>
    </row>
    <row r="356" spans="1:15" x14ac:dyDescent="0.3">
      <c r="A356" s="1" t="s">
        <v>733</v>
      </c>
      <c r="B356" s="1" t="s">
        <v>734</v>
      </c>
      <c r="C356" s="2">
        <v>3574.91</v>
      </c>
      <c r="D356" s="1" t="s">
        <v>24</v>
      </c>
      <c r="E356" s="1" t="s">
        <v>25</v>
      </c>
      <c r="F356" s="1" t="s">
        <v>26</v>
      </c>
      <c r="G356" s="1" t="s">
        <v>36</v>
      </c>
      <c r="H356" s="1">
        <v>743</v>
      </c>
      <c r="I356" s="1">
        <v>14</v>
      </c>
      <c r="J356" s="1">
        <v>3</v>
      </c>
      <c r="K356" s="2">
        <v>7217.05</v>
      </c>
      <c r="L356" s="1">
        <v>0</v>
      </c>
      <c r="M356" s="1">
        <v>0.74</v>
      </c>
      <c r="N356" s="1">
        <v>4</v>
      </c>
      <c r="O356" s="3" t="s">
        <v>21</v>
      </c>
    </row>
    <row r="357" spans="1:15" x14ac:dyDescent="0.3">
      <c r="A357" s="1" t="s">
        <v>735</v>
      </c>
      <c r="B357" s="1" t="s">
        <v>736</v>
      </c>
      <c r="C357" s="2">
        <v>32138.84</v>
      </c>
      <c r="D357" s="1" t="s">
        <v>24</v>
      </c>
      <c r="E357" s="1" t="s">
        <v>29</v>
      </c>
      <c r="F357" s="1" t="s">
        <v>30</v>
      </c>
      <c r="G357" s="1" t="s">
        <v>36</v>
      </c>
      <c r="H357" s="1">
        <v>453</v>
      </c>
      <c r="I357" s="1">
        <v>18</v>
      </c>
      <c r="J357" s="1">
        <v>0</v>
      </c>
      <c r="K357" s="2">
        <v>16122.59</v>
      </c>
      <c r="L357" s="1">
        <v>0</v>
      </c>
      <c r="M357" s="1">
        <v>0.65</v>
      </c>
      <c r="N357" s="1">
        <v>6</v>
      </c>
      <c r="O357" s="3" t="s">
        <v>21</v>
      </c>
    </row>
    <row r="358" spans="1:15" x14ac:dyDescent="0.3">
      <c r="A358" s="1" t="s">
        <v>737</v>
      </c>
      <c r="B358" s="1" t="s">
        <v>738</v>
      </c>
      <c r="C358" s="2">
        <v>1374.24</v>
      </c>
      <c r="D358" s="1" t="s">
        <v>17</v>
      </c>
      <c r="E358" s="1" t="s">
        <v>25</v>
      </c>
      <c r="F358" s="1" t="s">
        <v>26</v>
      </c>
      <c r="G358" s="1" t="s">
        <v>31</v>
      </c>
      <c r="H358" s="1">
        <v>127</v>
      </c>
      <c r="I358" s="1">
        <v>5</v>
      </c>
      <c r="J358" s="1">
        <v>4</v>
      </c>
      <c r="K358" s="2">
        <v>19942.52</v>
      </c>
      <c r="L358" s="1">
        <v>1</v>
      </c>
      <c r="M358" s="1">
        <v>0.65800000000000003</v>
      </c>
      <c r="N358" s="1">
        <v>8</v>
      </c>
      <c r="O358" s="3" t="s">
        <v>21</v>
      </c>
    </row>
    <row r="359" spans="1:15" x14ac:dyDescent="0.3">
      <c r="A359" s="1" t="s">
        <v>739</v>
      </c>
      <c r="B359" s="1" t="s">
        <v>740</v>
      </c>
      <c r="C359" s="2">
        <v>29309.49</v>
      </c>
      <c r="D359" s="1" t="s">
        <v>51</v>
      </c>
      <c r="E359" s="1" t="s">
        <v>29</v>
      </c>
      <c r="F359" s="1" t="s">
        <v>30</v>
      </c>
      <c r="G359" s="1" t="s">
        <v>46</v>
      </c>
      <c r="H359" s="1">
        <v>1550</v>
      </c>
      <c r="I359" s="1">
        <v>18</v>
      </c>
      <c r="J359" s="1">
        <v>2</v>
      </c>
      <c r="K359" s="2">
        <v>28263.31</v>
      </c>
      <c r="L359" s="1">
        <v>0</v>
      </c>
      <c r="M359" s="1">
        <v>0.34899999999999998</v>
      </c>
      <c r="N359" s="1">
        <v>8</v>
      </c>
      <c r="O359" s="3" t="s">
        <v>21</v>
      </c>
    </row>
    <row r="360" spans="1:15" x14ac:dyDescent="0.3">
      <c r="A360" s="1" t="s">
        <v>741</v>
      </c>
      <c r="B360" s="1" t="s">
        <v>742</v>
      </c>
      <c r="C360" s="2">
        <v>47014.5</v>
      </c>
      <c r="D360" s="1" t="s">
        <v>51</v>
      </c>
      <c r="E360" s="1" t="s">
        <v>25</v>
      </c>
      <c r="F360" s="1" t="s">
        <v>19</v>
      </c>
      <c r="G360" s="1" t="s">
        <v>20</v>
      </c>
      <c r="H360" s="1">
        <v>938</v>
      </c>
      <c r="I360" s="1">
        <v>16</v>
      </c>
      <c r="J360" s="1">
        <v>0</v>
      </c>
      <c r="K360" s="2">
        <v>24122.66</v>
      </c>
      <c r="L360" s="1">
        <v>0</v>
      </c>
      <c r="M360" s="1">
        <v>0.252</v>
      </c>
      <c r="N360" s="1">
        <v>5</v>
      </c>
      <c r="O360" s="3" t="s">
        <v>21</v>
      </c>
    </row>
    <row r="361" spans="1:15" x14ac:dyDescent="0.3">
      <c r="A361" s="1" t="s">
        <v>743</v>
      </c>
      <c r="B361" s="1" t="s">
        <v>744</v>
      </c>
      <c r="C361" s="2">
        <v>28794.94</v>
      </c>
      <c r="D361" s="1" t="s">
        <v>17</v>
      </c>
      <c r="E361" s="1" t="s">
        <v>39</v>
      </c>
      <c r="F361" s="1" t="s">
        <v>30</v>
      </c>
      <c r="G361" s="1" t="s">
        <v>20</v>
      </c>
      <c r="H361" s="1">
        <v>732</v>
      </c>
      <c r="I361" s="1">
        <v>8</v>
      </c>
      <c r="J361" s="1">
        <v>3</v>
      </c>
      <c r="K361" s="2">
        <v>12682.36</v>
      </c>
      <c r="L361" s="1">
        <v>0</v>
      </c>
      <c r="M361" s="1">
        <v>0.88500000000000001</v>
      </c>
      <c r="N361" s="1">
        <v>7</v>
      </c>
      <c r="O361" s="4" t="s">
        <v>1936</v>
      </c>
    </row>
    <row r="362" spans="1:15" x14ac:dyDescent="0.3">
      <c r="A362" s="1" t="s">
        <v>745</v>
      </c>
      <c r="B362" s="1" t="s">
        <v>533</v>
      </c>
      <c r="C362" s="2">
        <v>19439.09</v>
      </c>
      <c r="D362" s="1" t="s">
        <v>24</v>
      </c>
      <c r="E362" s="1" t="s">
        <v>25</v>
      </c>
      <c r="F362" s="1" t="s">
        <v>30</v>
      </c>
      <c r="G362" s="1" t="s">
        <v>46</v>
      </c>
      <c r="H362" s="1">
        <v>576</v>
      </c>
      <c r="I362" s="1">
        <v>20</v>
      </c>
      <c r="J362" s="1">
        <v>0</v>
      </c>
      <c r="K362" s="2">
        <v>25347.78</v>
      </c>
      <c r="L362" s="1">
        <v>0</v>
      </c>
      <c r="M362" s="1">
        <v>2.5000000000000001E-2</v>
      </c>
      <c r="N362" s="1">
        <v>1</v>
      </c>
      <c r="O362" s="3" t="s">
        <v>21</v>
      </c>
    </row>
    <row r="363" spans="1:15" x14ac:dyDescent="0.3">
      <c r="A363" s="1" t="s">
        <v>746</v>
      </c>
      <c r="B363" s="1" t="s">
        <v>747</v>
      </c>
      <c r="C363" s="2">
        <v>32182.25</v>
      </c>
      <c r="D363" s="1" t="s">
        <v>17</v>
      </c>
      <c r="E363" s="1" t="s">
        <v>25</v>
      </c>
      <c r="F363" s="1" t="s">
        <v>19</v>
      </c>
      <c r="G363" s="1" t="s">
        <v>36</v>
      </c>
      <c r="H363" s="1">
        <v>1564</v>
      </c>
      <c r="I363" s="1">
        <v>12</v>
      </c>
      <c r="J363" s="1">
        <v>2</v>
      </c>
      <c r="K363" s="2">
        <v>13306.65</v>
      </c>
      <c r="L363" s="1">
        <v>0</v>
      </c>
      <c r="M363" s="1">
        <v>0.17299999999999999</v>
      </c>
      <c r="N363" s="1">
        <v>5</v>
      </c>
      <c r="O363" s="3" t="s">
        <v>21</v>
      </c>
    </row>
    <row r="364" spans="1:15" x14ac:dyDescent="0.3">
      <c r="A364" s="1" t="s">
        <v>748</v>
      </c>
      <c r="B364" s="1" t="s">
        <v>749</v>
      </c>
      <c r="C364" s="2">
        <v>22939.73</v>
      </c>
      <c r="D364" s="1" t="s">
        <v>51</v>
      </c>
      <c r="E364" s="1" t="s">
        <v>39</v>
      </c>
      <c r="F364" s="1" t="s">
        <v>19</v>
      </c>
      <c r="G364" s="1" t="s">
        <v>20</v>
      </c>
      <c r="H364" s="1">
        <v>1946</v>
      </c>
      <c r="I364" s="1">
        <v>14</v>
      </c>
      <c r="J364" s="1">
        <v>0</v>
      </c>
      <c r="K364" s="2">
        <v>3990.79</v>
      </c>
      <c r="L364" s="1">
        <v>0</v>
      </c>
      <c r="M364" s="1">
        <v>0.13300000000000001</v>
      </c>
      <c r="N364" s="1">
        <v>3</v>
      </c>
      <c r="O364" s="3" t="s">
        <v>21</v>
      </c>
    </row>
    <row r="365" spans="1:15" x14ac:dyDescent="0.3">
      <c r="A365" s="1" t="s">
        <v>750</v>
      </c>
      <c r="B365" s="1" t="s">
        <v>751</v>
      </c>
      <c r="C365" s="2">
        <v>27303.56</v>
      </c>
      <c r="D365" s="1" t="s">
        <v>51</v>
      </c>
      <c r="E365" s="1" t="s">
        <v>29</v>
      </c>
      <c r="F365" s="1" t="s">
        <v>19</v>
      </c>
      <c r="G365" s="1" t="s">
        <v>46</v>
      </c>
      <c r="H365" s="1">
        <v>97</v>
      </c>
      <c r="I365" s="1">
        <v>15</v>
      </c>
      <c r="J365" s="1">
        <v>2</v>
      </c>
      <c r="K365" s="2">
        <v>10298.9</v>
      </c>
      <c r="L365" s="1">
        <v>0</v>
      </c>
      <c r="M365" s="1">
        <v>0.94899999999999995</v>
      </c>
      <c r="N365" s="1">
        <v>4</v>
      </c>
      <c r="O365" s="3" t="s">
        <v>21</v>
      </c>
    </row>
    <row r="366" spans="1:15" x14ac:dyDescent="0.3">
      <c r="A366" s="1" t="s">
        <v>752</v>
      </c>
      <c r="B366" s="1" t="s">
        <v>753</v>
      </c>
      <c r="C366" s="2">
        <v>47076.17</v>
      </c>
      <c r="D366" s="1" t="s">
        <v>17</v>
      </c>
      <c r="E366" s="1" t="s">
        <v>39</v>
      </c>
      <c r="F366" s="1" t="s">
        <v>30</v>
      </c>
      <c r="G366" s="1" t="s">
        <v>46</v>
      </c>
      <c r="H366" s="1">
        <v>1792</v>
      </c>
      <c r="I366" s="1">
        <v>12</v>
      </c>
      <c r="J366" s="1">
        <v>2</v>
      </c>
      <c r="K366" s="2">
        <v>24161.25</v>
      </c>
      <c r="L366" s="1">
        <v>0</v>
      </c>
      <c r="M366" s="1">
        <v>5.0000000000000001E-3</v>
      </c>
      <c r="N366" s="1">
        <v>1</v>
      </c>
      <c r="O366" s="3" t="s">
        <v>21</v>
      </c>
    </row>
    <row r="367" spans="1:15" x14ac:dyDescent="0.3">
      <c r="A367" s="1" t="s">
        <v>754</v>
      </c>
      <c r="B367" s="1" t="s">
        <v>755</v>
      </c>
      <c r="C367" s="2">
        <v>19335.830000000002</v>
      </c>
      <c r="D367" s="1" t="s">
        <v>24</v>
      </c>
      <c r="E367" s="1" t="s">
        <v>29</v>
      </c>
      <c r="F367" s="1" t="s">
        <v>26</v>
      </c>
      <c r="G367" s="1" t="s">
        <v>20</v>
      </c>
      <c r="H367" s="1">
        <v>1662</v>
      </c>
      <c r="I367" s="1">
        <v>1</v>
      </c>
      <c r="J367" s="1">
        <v>1</v>
      </c>
      <c r="K367" s="2">
        <v>28678.560000000001</v>
      </c>
      <c r="L367" s="1">
        <v>0</v>
      </c>
      <c r="M367" s="1">
        <v>8.0000000000000002E-3</v>
      </c>
      <c r="N367" s="1">
        <v>1</v>
      </c>
      <c r="O367" s="3" t="s">
        <v>21</v>
      </c>
    </row>
    <row r="368" spans="1:15" x14ac:dyDescent="0.3">
      <c r="A368" s="1" t="s">
        <v>756</v>
      </c>
      <c r="B368" s="1" t="s">
        <v>757</v>
      </c>
      <c r="C368" s="2">
        <v>48061.47</v>
      </c>
      <c r="D368" s="1" t="s">
        <v>17</v>
      </c>
      <c r="E368" s="1" t="s">
        <v>25</v>
      </c>
      <c r="F368" s="1" t="s">
        <v>26</v>
      </c>
      <c r="G368" s="1" t="s">
        <v>31</v>
      </c>
      <c r="H368" s="1">
        <v>485</v>
      </c>
      <c r="I368" s="1">
        <v>1</v>
      </c>
      <c r="J368" s="1">
        <v>1</v>
      </c>
      <c r="K368" s="2">
        <v>29509.15</v>
      </c>
      <c r="L368" s="1">
        <v>1</v>
      </c>
      <c r="M368" s="1">
        <v>0.22700000000000001</v>
      </c>
      <c r="N368" s="1">
        <v>3</v>
      </c>
      <c r="O368" s="3" t="s">
        <v>21</v>
      </c>
    </row>
    <row r="369" spans="1:15" x14ac:dyDescent="0.3">
      <c r="A369" s="1" t="s">
        <v>758</v>
      </c>
      <c r="B369" s="1" t="s">
        <v>759</v>
      </c>
      <c r="C369" s="2">
        <v>45272.26</v>
      </c>
      <c r="D369" s="1" t="s">
        <v>24</v>
      </c>
      <c r="E369" s="1" t="s">
        <v>29</v>
      </c>
      <c r="F369" s="1" t="s">
        <v>26</v>
      </c>
      <c r="G369" s="1" t="s">
        <v>56</v>
      </c>
      <c r="H369" s="1">
        <v>1715</v>
      </c>
      <c r="I369" s="1">
        <v>10</v>
      </c>
      <c r="J369" s="1">
        <v>3</v>
      </c>
      <c r="K369" s="2">
        <v>19208.939999999999</v>
      </c>
      <c r="L369" s="1">
        <v>1</v>
      </c>
      <c r="M369" s="1">
        <v>0.27900000000000003</v>
      </c>
      <c r="N369" s="1">
        <v>4</v>
      </c>
      <c r="O369" s="3" t="s">
        <v>21</v>
      </c>
    </row>
    <row r="370" spans="1:15" x14ac:dyDescent="0.3">
      <c r="A370" s="1" t="s">
        <v>760</v>
      </c>
      <c r="B370" s="1" t="s">
        <v>761</v>
      </c>
      <c r="C370" s="2">
        <v>9829.77</v>
      </c>
      <c r="D370" s="1" t="s">
        <v>24</v>
      </c>
      <c r="E370" s="1" t="s">
        <v>25</v>
      </c>
      <c r="F370" s="1" t="s">
        <v>19</v>
      </c>
      <c r="G370" s="1" t="s">
        <v>31</v>
      </c>
      <c r="H370" s="1">
        <v>1518</v>
      </c>
      <c r="I370" s="1">
        <v>15</v>
      </c>
      <c r="J370" s="1">
        <v>3</v>
      </c>
      <c r="K370" s="2">
        <v>14402.42</v>
      </c>
      <c r="L370" s="1">
        <v>0</v>
      </c>
      <c r="M370" s="1">
        <v>0.56000000000000005</v>
      </c>
      <c r="N370" s="1">
        <v>3</v>
      </c>
      <c r="O370" s="3" t="s">
        <v>21</v>
      </c>
    </row>
    <row r="371" spans="1:15" x14ac:dyDescent="0.3">
      <c r="A371" s="1" t="s">
        <v>762</v>
      </c>
      <c r="B371" s="1" t="s">
        <v>763</v>
      </c>
      <c r="C371" s="2">
        <v>3514.6</v>
      </c>
      <c r="D371" s="1" t="s">
        <v>17</v>
      </c>
      <c r="E371" s="1" t="s">
        <v>29</v>
      </c>
      <c r="F371" s="1" t="s">
        <v>19</v>
      </c>
      <c r="G371" s="1" t="s">
        <v>36</v>
      </c>
      <c r="H371" s="1">
        <v>1695</v>
      </c>
      <c r="I371" s="1">
        <v>16</v>
      </c>
      <c r="J371" s="1">
        <v>3</v>
      </c>
      <c r="K371" s="2">
        <v>4945.51</v>
      </c>
      <c r="L371" s="1">
        <v>0</v>
      </c>
      <c r="M371" s="1">
        <v>0.96099999999999997</v>
      </c>
      <c r="N371" s="1">
        <v>2</v>
      </c>
      <c r="O371" s="4" t="s">
        <v>1936</v>
      </c>
    </row>
    <row r="372" spans="1:15" x14ac:dyDescent="0.3">
      <c r="A372" s="1" t="s">
        <v>764</v>
      </c>
      <c r="B372" s="1" t="s">
        <v>765</v>
      </c>
      <c r="C372" s="2">
        <v>5083.8599999999997</v>
      </c>
      <c r="D372" s="1" t="s">
        <v>17</v>
      </c>
      <c r="E372" s="1" t="s">
        <v>25</v>
      </c>
      <c r="F372" s="1" t="s">
        <v>26</v>
      </c>
      <c r="G372" s="1" t="s">
        <v>31</v>
      </c>
      <c r="H372" s="1">
        <v>304</v>
      </c>
      <c r="I372" s="1">
        <v>2</v>
      </c>
      <c r="J372" s="1">
        <v>2</v>
      </c>
      <c r="K372" s="2">
        <v>3165.48</v>
      </c>
      <c r="L372" s="1">
        <v>0</v>
      </c>
      <c r="M372" s="1">
        <v>0.46500000000000002</v>
      </c>
      <c r="N372" s="1">
        <v>7</v>
      </c>
      <c r="O372" s="3" t="s">
        <v>21</v>
      </c>
    </row>
    <row r="373" spans="1:15" x14ac:dyDescent="0.3">
      <c r="A373" s="1" t="s">
        <v>766</v>
      </c>
      <c r="B373" s="1" t="s">
        <v>767</v>
      </c>
      <c r="C373" s="2">
        <v>960.18</v>
      </c>
      <c r="D373" s="1" t="s">
        <v>24</v>
      </c>
      <c r="E373" s="1" t="s">
        <v>25</v>
      </c>
      <c r="F373" s="1" t="s">
        <v>19</v>
      </c>
      <c r="G373" s="1" t="s">
        <v>56</v>
      </c>
      <c r="H373" s="1">
        <v>729</v>
      </c>
      <c r="I373" s="1">
        <v>22</v>
      </c>
      <c r="J373" s="1">
        <v>2</v>
      </c>
      <c r="K373" s="2">
        <v>15603.22</v>
      </c>
      <c r="L373" s="1">
        <v>0</v>
      </c>
      <c r="M373" s="1">
        <v>0.28899999999999998</v>
      </c>
      <c r="N373" s="1">
        <v>9</v>
      </c>
      <c r="O373" s="3" t="s">
        <v>21</v>
      </c>
    </row>
    <row r="374" spans="1:15" x14ac:dyDescent="0.3">
      <c r="A374" s="1" t="s">
        <v>768</v>
      </c>
      <c r="B374" s="1" t="s">
        <v>769</v>
      </c>
      <c r="C374" s="2">
        <v>4767.43</v>
      </c>
      <c r="D374" s="1" t="s">
        <v>24</v>
      </c>
      <c r="E374" s="1" t="s">
        <v>18</v>
      </c>
      <c r="F374" s="1" t="s">
        <v>30</v>
      </c>
      <c r="G374" s="1" t="s">
        <v>56</v>
      </c>
      <c r="H374" s="1">
        <v>1414</v>
      </c>
      <c r="I374" s="1">
        <v>0</v>
      </c>
      <c r="J374" s="1">
        <v>1</v>
      </c>
      <c r="K374" s="2">
        <v>21860.59</v>
      </c>
      <c r="L374" s="1">
        <v>0</v>
      </c>
      <c r="M374" s="1">
        <v>0.81699999999999995</v>
      </c>
      <c r="N374" s="1">
        <v>3</v>
      </c>
      <c r="O374" s="3" t="s">
        <v>21</v>
      </c>
    </row>
    <row r="375" spans="1:15" x14ac:dyDescent="0.3">
      <c r="A375" s="1" t="s">
        <v>770</v>
      </c>
      <c r="B375" s="1" t="s">
        <v>771</v>
      </c>
      <c r="C375" s="2">
        <v>34166.19</v>
      </c>
      <c r="D375" s="1" t="s">
        <v>24</v>
      </c>
      <c r="E375" s="1" t="s">
        <v>29</v>
      </c>
      <c r="F375" s="1" t="s">
        <v>30</v>
      </c>
      <c r="G375" s="1" t="s">
        <v>46</v>
      </c>
      <c r="H375" s="1">
        <v>1004</v>
      </c>
      <c r="I375" s="1">
        <v>17</v>
      </c>
      <c r="J375" s="1">
        <v>2</v>
      </c>
      <c r="K375" s="2">
        <v>9785.27</v>
      </c>
      <c r="L375" s="1">
        <v>0</v>
      </c>
      <c r="M375" s="1">
        <v>0.38600000000000001</v>
      </c>
      <c r="N375" s="1">
        <v>9</v>
      </c>
      <c r="O375" s="3" t="s">
        <v>21</v>
      </c>
    </row>
    <row r="376" spans="1:15" x14ac:dyDescent="0.3">
      <c r="A376" s="1" t="s">
        <v>772</v>
      </c>
      <c r="B376" s="1" t="s">
        <v>428</v>
      </c>
      <c r="C376" s="2">
        <v>3605.87</v>
      </c>
      <c r="D376" s="1" t="s">
        <v>24</v>
      </c>
      <c r="E376" s="1" t="s">
        <v>29</v>
      </c>
      <c r="F376" s="1" t="s">
        <v>19</v>
      </c>
      <c r="G376" s="1" t="s">
        <v>36</v>
      </c>
      <c r="H376" s="1">
        <v>1316</v>
      </c>
      <c r="I376" s="1">
        <v>13</v>
      </c>
      <c r="J376" s="1">
        <v>1</v>
      </c>
      <c r="K376" s="2">
        <v>20272.830000000002</v>
      </c>
      <c r="L376" s="1">
        <v>0</v>
      </c>
      <c r="M376" s="1">
        <v>0.14199999999999999</v>
      </c>
      <c r="N376" s="1">
        <v>8</v>
      </c>
      <c r="O376" s="3" t="s">
        <v>21</v>
      </c>
    </row>
    <row r="377" spans="1:15" x14ac:dyDescent="0.3">
      <c r="A377" s="1" t="s">
        <v>773</v>
      </c>
      <c r="B377" s="1" t="s">
        <v>774</v>
      </c>
      <c r="C377" s="2">
        <v>15982.83</v>
      </c>
      <c r="D377" s="1" t="s">
        <v>51</v>
      </c>
      <c r="E377" s="1" t="s">
        <v>18</v>
      </c>
      <c r="F377" s="1" t="s">
        <v>26</v>
      </c>
      <c r="G377" s="1" t="s">
        <v>46</v>
      </c>
      <c r="H377" s="1">
        <v>853</v>
      </c>
      <c r="I377" s="1">
        <v>21</v>
      </c>
      <c r="J377" s="1">
        <v>0</v>
      </c>
      <c r="K377" s="2">
        <v>17167.23</v>
      </c>
      <c r="L377" s="1">
        <v>0</v>
      </c>
      <c r="M377" s="1">
        <v>0.79500000000000004</v>
      </c>
      <c r="N377" s="1">
        <v>5</v>
      </c>
      <c r="O377" s="3" t="s">
        <v>21</v>
      </c>
    </row>
    <row r="378" spans="1:15" x14ac:dyDescent="0.3">
      <c r="A378" s="1" t="s">
        <v>775</v>
      </c>
      <c r="B378" s="1" t="s">
        <v>776</v>
      </c>
      <c r="C378" s="2">
        <v>42251.519999999997</v>
      </c>
      <c r="D378" s="1" t="s">
        <v>17</v>
      </c>
      <c r="E378" s="1" t="s">
        <v>25</v>
      </c>
      <c r="F378" s="1" t="s">
        <v>26</v>
      </c>
      <c r="G378" s="1" t="s">
        <v>31</v>
      </c>
      <c r="H378" s="1">
        <v>695</v>
      </c>
      <c r="I378" s="1">
        <v>8</v>
      </c>
      <c r="J378" s="1">
        <v>3</v>
      </c>
      <c r="K378" s="2">
        <v>28228.39</v>
      </c>
      <c r="L378" s="1">
        <v>0</v>
      </c>
      <c r="M378" s="1">
        <v>2E-3</v>
      </c>
      <c r="N378" s="1">
        <v>6</v>
      </c>
      <c r="O378" s="3" t="s">
        <v>21</v>
      </c>
    </row>
    <row r="379" spans="1:15" x14ac:dyDescent="0.3">
      <c r="A379" s="1" t="s">
        <v>777</v>
      </c>
      <c r="B379" s="1" t="s">
        <v>778</v>
      </c>
      <c r="C379" s="2">
        <v>1212.43</v>
      </c>
      <c r="D379" s="1" t="s">
        <v>24</v>
      </c>
      <c r="E379" s="1" t="s">
        <v>25</v>
      </c>
      <c r="F379" s="1" t="s">
        <v>30</v>
      </c>
      <c r="G379" s="1" t="s">
        <v>31</v>
      </c>
      <c r="H379" s="1">
        <v>648</v>
      </c>
      <c r="I379" s="1">
        <v>8</v>
      </c>
      <c r="J379" s="1">
        <v>3</v>
      </c>
      <c r="K379" s="2">
        <v>6365.75</v>
      </c>
      <c r="L379" s="1">
        <v>0</v>
      </c>
      <c r="M379" s="1">
        <v>0.20499999999999999</v>
      </c>
      <c r="N379" s="1">
        <v>1</v>
      </c>
      <c r="O379" s="3" t="s">
        <v>21</v>
      </c>
    </row>
    <row r="380" spans="1:15" x14ac:dyDescent="0.3">
      <c r="A380" s="1" t="s">
        <v>779</v>
      </c>
      <c r="B380" s="1" t="s">
        <v>780</v>
      </c>
      <c r="C380" s="2">
        <v>40732.699999999997</v>
      </c>
      <c r="D380" s="1" t="s">
        <v>17</v>
      </c>
      <c r="E380" s="1" t="s">
        <v>18</v>
      </c>
      <c r="F380" s="1" t="s">
        <v>19</v>
      </c>
      <c r="G380" s="1" t="s">
        <v>20</v>
      </c>
      <c r="H380" s="1">
        <v>1189</v>
      </c>
      <c r="I380" s="1">
        <v>11</v>
      </c>
      <c r="J380" s="1">
        <v>4</v>
      </c>
      <c r="K380" s="2">
        <v>17772.650000000001</v>
      </c>
      <c r="L380" s="1">
        <v>0</v>
      </c>
      <c r="M380" s="1">
        <v>0.63500000000000001</v>
      </c>
      <c r="N380" s="1">
        <v>6</v>
      </c>
      <c r="O380" s="4" t="s">
        <v>1936</v>
      </c>
    </row>
    <row r="381" spans="1:15" x14ac:dyDescent="0.3">
      <c r="A381" s="1" t="s">
        <v>781</v>
      </c>
      <c r="B381" s="1" t="s">
        <v>782</v>
      </c>
      <c r="C381" s="2">
        <v>14128.65</v>
      </c>
      <c r="D381" s="1" t="s">
        <v>24</v>
      </c>
      <c r="E381" s="1" t="s">
        <v>18</v>
      </c>
      <c r="F381" s="1" t="s">
        <v>26</v>
      </c>
      <c r="G381" s="1" t="s">
        <v>46</v>
      </c>
      <c r="H381" s="1">
        <v>1213</v>
      </c>
      <c r="I381" s="1">
        <v>23</v>
      </c>
      <c r="J381" s="1">
        <v>1</v>
      </c>
      <c r="K381" s="2">
        <v>12472.53</v>
      </c>
      <c r="L381" s="1">
        <v>0</v>
      </c>
      <c r="M381" s="1">
        <v>0.10199999999999999</v>
      </c>
      <c r="N381" s="1">
        <v>9</v>
      </c>
      <c r="O381" s="3" t="s">
        <v>21</v>
      </c>
    </row>
    <row r="382" spans="1:15" x14ac:dyDescent="0.3">
      <c r="A382" s="1" t="s">
        <v>783</v>
      </c>
      <c r="B382" s="1" t="s">
        <v>784</v>
      </c>
      <c r="C382" s="2">
        <v>5952.33</v>
      </c>
      <c r="D382" s="1" t="s">
        <v>17</v>
      </c>
      <c r="E382" s="1" t="s">
        <v>39</v>
      </c>
      <c r="F382" s="1" t="s">
        <v>26</v>
      </c>
      <c r="G382" s="1" t="s">
        <v>46</v>
      </c>
      <c r="H382" s="1">
        <v>970</v>
      </c>
      <c r="I382" s="1">
        <v>2</v>
      </c>
      <c r="J382" s="1">
        <v>4</v>
      </c>
      <c r="K382" s="2">
        <v>7921.11</v>
      </c>
      <c r="L382" s="1">
        <v>0</v>
      </c>
      <c r="M382" s="1">
        <v>0.25600000000000001</v>
      </c>
      <c r="N382" s="1">
        <v>7</v>
      </c>
      <c r="O382" s="3" t="s">
        <v>21</v>
      </c>
    </row>
    <row r="383" spans="1:15" x14ac:dyDescent="0.3">
      <c r="A383" s="1" t="s">
        <v>785</v>
      </c>
      <c r="B383" s="1" t="s">
        <v>786</v>
      </c>
      <c r="C383" s="2">
        <v>34852.019999999997</v>
      </c>
      <c r="D383" s="1" t="s">
        <v>17</v>
      </c>
      <c r="E383" s="1" t="s">
        <v>25</v>
      </c>
      <c r="F383" s="1" t="s">
        <v>19</v>
      </c>
      <c r="G383" s="1" t="s">
        <v>46</v>
      </c>
      <c r="H383" s="1">
        <v>944</v>
      </c>
      <c r="I383" s="1">
        <v>1</v>
      </c>
      <c r="J383" s="1">
        <v>3</v>
      </c>
      <c r="K383" s="2">
        <v>10783.04</v>
      </c>
      <c r="L383" s="1">
        <v>0</v>
      </c>
      <c r="M383" s="1">
        <v>0.39300000000000002</v>
      </c>
      <c r="N383" s="1">
        <v>9</v>
      </c>
      <c r="O383" s="3" t="s">
        <v>21</v>
      </c>
    </row>
    <row r="384" spans="1:15" x14ac:dyDescent="0.3">
      <c r="A384" s="1" t="s">
        <v>787</v>
      </c>
      <c r="B384" s="1" t="s">
        <v>788</v>
      </c>
      <c r="C384" s="2">
        <v>31465.7</v>
      </c>
      <c r="D384" s="1" t="s">
        <v>24</v>
      </c>
      <c r="E384" s="1" t="s">
        <v>39</v>
      </c>
      <c r="F384" s="1" t="s">
        <v>19</v>
      </c>
      <c r="G384" s="1" t="s">
        <v>46</v>
      </c>
      <c r="H384" s="1">
        <v>899</v>
      </c>
      <c r="I384" s="1">
        <v>0</v>
      </c>
      <c r="J384" s="1">
        <v>4</v>
      </c>
      <c r="K384" s="2">
        <v>8906.6</v>
      </c>
      <c r="L384" s="1">
        <v>0</v>
      </c>
      <c r="M384" s="1">
        <v>0.39600000000000002</v>
      </c>
      <c r="N384" s="1">
        <v>5</v>
      </c>
      <c r="O384" s="3" t="s">
        <v>21</v>
      </c>
    </row>
    <row r="385" spans="1:15" x14ac:dyDescent="0.3">
      <c r="A385" s="1" t="s">
        <v>789</v>
      </c>
      <c r="B385" s="1" t="s">
        <v>790</v>
      </c>
      <c r="C385" s="2">
        <v>43879.73</v>
      </c>
      <c r="D385" s="1" t="s">
        <v>24</v>
      </c>
      <c r="E385" s="1" t="s">
        <v>29</v>
      </c>
      <c r="F385" s="1" t="s">
        <v>26</v>
      </c>
      <c r="G385" s="1" t="s">
        <v>56</v>
      </c>
      <c r="H385" s="1">
        <v>923</v>
      </c>
      <c r="I385" s="1">
        <v>8</v>
      </c>
      <c r="J385" s="1">
        <v>0</v>
      </c>
      <c r="K385" s="2">
        <v>15876.69</v>
      </c>
      <c r="L385" s="1">
        <v>0</v>
      </c>
      <c r="M385" s="1">
        <v>0.97299999999999998</v>
      </c>
      <c r="N385" s="1">
        <v>5</v>
      </c>
      <c r="O385" s="3" t="s">
        <v>21</v>
      </c>
    </row>
    <row r="386" spans="1:15" x14ac:dyDescent="0.3">
      <c r="A386" s="1" t="s">
        <v>791</v>
      </c>
      <c r="B386" s="1" t="s">
        <v>792</v>
      </c>
      <c r="C386" s="2">
        <v>36766.800000000003</v>
      </c>
      <c r="D386" s="1" t="s">
        <v>17</v>
      </c>
      <c r="E386" s="1" t="s">
        <v>39</v>
      </c>
      <c r="F386" s="1" t="s">
        <v>19</v>
      </c>
      <c r="G386" s="1" t="s">
        <v>20</v>
      </c>
      <c r="H386" s="1">
        <v>1120</v>
      </c>
      <c r="I386" s="1">
        <v>12</v>
      </c>
      <c r="J386" s="1">
        <v>4</v>
      </c>
      <c r="K386" s="2">
        <v>16785.82</v>
      </c>
      <c r="L386" s="1">
        <v>0</v>
      </c>
      <c r="M386" s="1">
        <v>0.67600000000000005</v>
      </c>
      <c r="N386" s="1">
        <v>5</v>
      </c>
      <c r="O386" s="4" t="s">
        <v>1936</v>
      </c>
    </row>
    <row r="387" spans="1:15" x14ac:dyDescent="0.3">
      <c r="A387" s="1" t="s">
        <v>793</v>
      </c>
      <c r="B387" s="1" t="s">
        <v>794</v>
      </c>
      <c r="C387" s="2">
        <v>40183.870000000003</v>
      </c>
      <c r="D387" s="1" t="s">
        <v>17</v>
      </c>
      <c r="E387" s="1" t="s">
        <v>18</v>
      </c>
      <c r="F387" s="1" t="s">
        <v>19</v>
      </c>
      <c r="G387" s="1" t="s">
        <v>36</v>
      </c>
      <c r="H387" s="1">
        <v>415</v>
      </c>
      <c r="I387" s="1">
        <v>20</v>
      </c>
      <c r="J387" s="1">
        <v>0</v>
      </c>
      <c r="K387" s="2">
        <v>25979.65</v>
      </c>
      <c r="L387" s="1">
        <v>0</v>
      </c>
      <c r="M387" s="1">
        <v>3.6999999999999998E-2</v>
      </c>
      <c r="N387" s="1">
        <v>6</v>
      </c>
      <c r="O387" s="3" t="s">
        <v>21</v>
      </c>
    </row>
    <row r="388" spans="1:15" x14ac:dyDescent="0.3">
      <c r="A388" s="1" t="s">
        <v>795</v>
      </c>
      <c r="B388" s="1" t="s">
        <v>796</v>
      </c>
      <c r="C388" s="2">
        <v>14137.63</v>
      </c>
      <c r="D388" s="1" t="s">
        <v>17</v>
      </c>
      <c r="E388" s="1" t="s">
        <v>18</v>
      </c>
      <c r="F388" s="1" t="s">
        <v>19</v>
      </c>
      <c r="G388" s="1" t="s">
        <v>36</v>
      </c>
      <c r="H388" s="1">
        <v>1869</v>
      </c>
      <c r="I388" s="1">
        <v>15</v>
      </c>
      <c r="J388" s="1">
        <v>3</v>
      </c>
      <c r="K388" s="2">
        <v>23461.040000000001</v>
      </c>
      <c r="L388" s="1">
        <v>0</v>
      </c>
      <c r="M388" s="1">
        <v>0.221</v>
      </c>
      <c r="N388" s="1">
        <v>4</v>
      </c>
      <c r="O388" s="3" t="s">
        <v>21</v>
      </c>
    </row>
    <row r="389" spans="1:15" x14ac:dyDescent="0.3">
      <c r="A389" s="1" t="s">
        <v>797</v>
      </c>
      <c r="B389" s="1" t="s">
        <v>798</v>
      </c>
      <c r="C389" s="2">
        <v>8913.11</v>
      </c>
      <c r="D389" s="1" t="s">
        <v>51</v>
      </c>
      <c r="E389" s="1" t="s">
        <v>18</v>
      </c>
      <c r="F389" s="1" t="s">
        <v>26</v>
      </c>
      <c r="G389" s="1" t="s">
        <v>36</v>
      </c>
      <c r="H389" s="1">
        <v>1529</v>
      </c>
      <c r="I389" s="1">
        <v>18</v>
      </c>
      <c r="J389" s="1">
        <v>2</v>
      </c>
      <c r="K389" s="2">
        <v>9145.2099999999991</v>
      </c>
      <c r="L389" s="1">
        <v>0</v>
      </c>
      <c r="M389" s="1">
        <v>0.61599999999999999</v>
      </c>
      <c r="N389" s="1">
        <v>9</v>
      </c>
      <c r="O389" s="3" t="s">
        <v>21</v>
      </c>
    </row>
    <row r="390" spans="1:15" x14ac:dyDescent="0.3">
      <c r="A390" s="1" t="s">
        <v>799</v>
      </c>
      <c r="B390" s="1" t="s">
        <v>800</v>
      </c>
      <c r="C390" s="2">
        <v>37543.21</v>
      </c>
      <c r="D390" s="1" t="s">
        <v>24</v>
      </c>
      <c r="E390" s="1" t="s">
        <v>18</v>
      </c>
      <c r="F390" s="1" t="s">
        <v>30</v>
      </c>
      <c r="G390" s="1" t="s">
        <v>56</v>
      </c>
      <c r="H390" s="1">
        <v>1300</v>
      </c>
      <c r="I390" s="1">
        <v>9</v>
      </c>
      <c r="J390" s="1">
        <v>1</v>
      </c>
      <c r="K390" s="2">
        <v>27946.63</v>
      </c>
      <c r="L390" s="1">
        <v>0</v>
      </c>
      <c r="M390" s="1">
        <v>0.71299999999999997</v>
      </c>
      <c r="N390" s="1">
        <v>7</v>
      </c>
      <c r="O390" s="3" t="s">
        <v>21</v>
      </c>
    </row>
    <row r="391" spans="1:15" x14ac:dyDescent="0.3">
      <c r="A391" s="1" t="s">
        <v>801</v>
      </c>
      <c r="B391" s="1" t="s">
        <v>802</v>
      </c>
      <c r="C391" s="2">
        <v>40351.4</v>
      </c>
      <c r="D391" s="1" t="s">
        <v>51</v>
      </c>
      <c r="E391" s="1" t="s">
        <v>39</v>
      </c>
      <c r="F391" s="1" t="s">
        <v>19</v>
      </c>
      <c r="G391" s="1" t="s">
        <v>20</v>
      </c>
      <c r="H391" s="1">
        <v>1627</v>
      </c>
      <c r="I391" s="1">
        <v>4</v>
      </c>
      <c r="J391" s="1">
        <v>4</v>
      </c>
      <c r="K391" s="2">
        <v>26063.75</v>
      </c>
      <c r="L391" s="1">
        <v>0</v>
      </c>
      <c r="M391" s="1">
        <v>0.38100000000000001</v>
      </c>
      <c r="N391" s="1">
        <v>3</v>
      </c>
      <c r="O391" s="3" t="s">
        <v>21</v>
      </c>
    </row>
    <row r="392" spans="1:15" x14ac:dyDescent="0.3">
      <c r="A392" s="1" t="s">
        <v>803</v>
      </c>
      <c r="B392" s="1" t="s">
        <v>804</v>
      </c>
      <c r="C392" s="2">
        <v>49525.73</v>
      </c>
      <c r="D392" s="1" t="s">
        <v>51</v>
      </c>
      <c r="E392" s="1" t="s">
        <v>39</v>
      </c>
      <c r="F392" s="1" t="s">
        <v>26</v>
      </c>
      <c r="G392" s="1" t="s">
        <v>20</v>
      </c>
      <c r="H392" s="1">
        <v>1097</v>
      </c>
      <c r="I392" s="1">
        <v>13</v>
      </c>
      <c r="J392" s="1">
        <v>0</v>
      </c>
      <c r="K392" s="2">
        <v>18813.3</v>
      </c>
      <c r="L392" s="1">
        <v>0</v>
      </c>
      <c r="M392" s="1">
        <v>0.85699999999999998</v>
      </c>
      <c r="N392" s="1">
        <v>7</v>
      </c>
      <c r="O392" s="3" t="s">
        <v>21</v>
      </c>
    </row>
    <row r="393" spans="1:15" x14ac:dyDescent="0.3">
      <c r="A393" s="1" t="s">
        <v>805</v>
      </c>
      <c r="B393" s="1" t="s">
        <v>806</v>
      </c>
      <c r="C393" s="2">
        <v>20660.25</v>
      </c>
      <c r="D393" s="1" t="s">
        <v>24</v>
      </c>
      <c r="E393" s="1" t="s">
        <v>39</v>
      </c>
      <c r="F393" s="1" t="s">
        <v>30</v>
      </c>
      <c r="G393" s="1" t="s">
        <v>56</v>
      </c>
      <c r="H393" s="1">
        <v>128</v>
      </c>
      <c r="I393" s="1">
        <v>14</v>
      </c>
      <c r="J393" s="1">
        <v>3</v>
      </c>
      <c r="K393" s="2">
        <v>656.99</v>
      </c>
      <c r="L393" s="1">
        <v>0</v>
      </c>
      <c r="M393" s="1">
        <v>0.94299999999999995</v>
      </c>
      <c r="N393" s="1">
        <v>3</v>
      </c>
      <c r="O393" s="3" t="s">
        <v>21</v>
      </c>
    </row>
    <row r="394" spans="1:15" x14ac:dyDescent="0.3">
      <c r="A394" s="1" t="s">
        <v>807</v>
      </c>
      <c r="B394" s="1" t="s">
        <v>808</v>
      </c>
      <c r="C394" s="2">
        <v>18632.3</v>
      </c>
      <c r="D394" s="1" t="s">
        <v>24</v>
      </c>
      <c r="E394" s="1" t="s">
        <v>18</v>
      </c>
      <c r="F394" s="1" t="s">
        <v>26</v>
      </c>
      <c r="G394" s="1" t="s">
        <v>46</v>
      </c>
      <c r="H394" s="1">
        <v>350</v>
      </c>
      <c r="I394" s="1">
        <v>2</v>
      </c>
      <c r="J394" s="1">
        <v>3</v>
      </c>
      <c r="K394" s="2">
        <v>6353.18</v>
      </c>
      <c r="L394" s="1">
        <v>0</v>
      </c>
      <c r="M394" s="1">
        <v>0.61399999999999999</v>
      </c>
      <c r="N394" s="1">
        <v>3</v>
      </c>
      <c r="O394" s="3" t="s">
        <v>21</v>
      </c>
    </row>
    <row r="395" spans="1:15" x14ac:dyDescent="0.3">
      <c r="A395" s="1" t="s">
        <v>809</v>
      </c>
      <c r="B395" s="1" t="s">
        <v>810</v>
      </c>
      <c r="C395" s="2">
        <v>38831.83</v>
      </c>
      <c r="D395" s="1" t="s">
        <v>51</v>
      </c>
      <c r="E395" s="1" t="s">
        <v>18</v>
      </c>
      <c r="F395" s="1" t="s">
        <v>26</v>
      </c>
      <c r="G395" s="1" t="s">
        <v>31</v>
      </c>
      <c r="H395" s="1">
        <v>322</v>
      </c>
      <c r="I395" s="1">
        <v>8</v>
      </c>
      <c r="J395" s="1">
        <v>2</v>
      </c>
      <c r="K395" s="2">
        <v>23700.65</v>
      </c>
      <c r="L395" s="1">
        <v>0</v>
      </c>
      <c r="M395" s="1">
        <v>0.56200000000000006</v>
      </c>
      <c r="N395" s="1">
        <v>4</v>
      </c>
      <c r="O395" s="3" t="s">
        <v>21</v>
      </c>
    </row>
    <row r="396" spans="1:15" x14ac:dyDescent="0.3">
      <c r="A396" s="1" t="s">
        <v>811</v>
      </c>
      <c r="B396" s="1" t="s">
        <v>812</v>
      </c>
      <c r="C396" s="2">
        <v>17073.14</v>
      </c>
      <c r="D396" s="1" t="s">
        <v>24</v>
      </c>
      <c r="E396" s="1" t="s">
        <v>25</v>
      </c>
      <c r="F396" s="1" t="s">
        <v>26</v>
      </c>
      <c r="G396" s="1" t="s">
        <v>46</v>
      </c>
      <c r="H396" s="1">
        <v>172</v>
      </c>
      <c r="I396" s="1">
        <v>0</v>
      </c>
      <c r="J396" s="1">
        <v>3</v>
      </c>
      <c r="K396" s="2">
        <v>13667.45</v>
      </c>
      <c r="L396" s="1">
        <v>0</v>
      </c>
      <c r="M396" s="1">
        <v>0.751</v>
      </c>
      <c r="N396" s="1">
        <v>2</v>
      </c>
      <c r="O396" s="3" t="s">
        <v>21</v>
      </c>
    </row>
    <row r="397" spans="1:15" x14ac:dyDescent="0.3">
      <c r="A397" s="1" t="s">
        <v>813</v>
      </c>
      <c r="B397" s="1" t="s">
        <v>814</v>
      </c>
      <c r="C397" s="2">
        <v>46541.33</v>
      </c>
      <c r="D397" s="1" t="s">
        <v>17</v>
      </c>
      <c r="E397" s="1" t="s">
        <v>25</v>
      </c>
      <c r="F397" s="1" t="s">
        <v>30</v>
      </c>
      <c r="G397" s="1" t="s">
        <v>36</v>
      </c>
      <c r="H397" s="1">
        <v>1538</v>
      </c>
      <c r="I397" s="1">
        <v>0</v>
      </c>
      <c r="J397" s="1">
        <v>3</v>
      </c>
      <c r="K397" s="2">
        <v>3865.92</v>
      </c>
      <c r="L397" s="1">
        <v>0</v>
      </c>
      <c r="M397" s="1">
        <v>0.78200000000000003</v>
      </c>
      <c r="N397" s="1">
        <v>8</v>
      </c>
      <c r="O397" s="3" t="s">
        <v>21</v>
      </c>
    </row>
    <row r="398" spans="1:15" x14ac:dyDescent="0.3">
      <c r="A398" s="1" t="s">
        <v>815</v>
      </c>
      <c r="B398" s="1" t="s">
        <v>816</v>
      </c>
      <c r="C398" s="2">
        <v>42927.72</v>
      </c>
      <c r="D398" s="1" t="s">
        <v>17</v>
      </c>
      <c r="E398" s="1" t="s">
        <v>18</v>
      </c>
      <c r="F398" s="1" t="s">
        <v>26</v>
      </c>
      <c r="G398" s="1" t="s">
        <v>46</v>
      </c>
      <c r="H398" s="1">
        <v>302</v>
      </c>
      <c r="I398" s="1">
        <v>18</v>
      </c>
      <c r="J398" s="1">
        <v>2</v>
      </c>
      <c r="K398" s="2">
        <v>12306.96</v>
      </c>
      <c r="L398" s="1">
        <v>0</v>
      </c>
      <c r="M398" s="1">
        <v>0.215</v>
      </c>
      <c r="N398" s="1">
        <v>1</v>
      </c>
      <c r="O398" s="3" t="s">
        <v>21</v>
      </c>
    </row>
    <row r="399" spans="1:15" x14ac:dyDescent="0.3">
      <c r="A399" s="1" t="s">
        <v>817</v>
      </c>
      <c r="B399" s="1" t="s">
        <v>818</v>
      </c>
      <c r="C399" s="2">
        <v>21478.25</v>
      </c>
      <c r="D399" s="1" t="s">
        <v>51</v>
      </c>
      <c r="E399" s="1" t="s">
        <v>25</v>
      </c>
      <c r="F399" s="1" t="s">
        <v>30</v>
      </c>
      <c r="G399" s="1" t="s">
        <v>56</v>
      </c>
      <c r="H399" s="1">
        <v>699</v>
      </c>
      <c r="I399" s="1">
        <v>5</v>
      </c>
      <c r="J399" s="1">
        <v>3</v>
      </c>
      <c r="K399" s="2">
        <v>6435.9</v>
      </c>
      <c r="L399" s="1">
        <v>0</v>
      </c>
      <c r="M399" s="1">
        <v>0.48399999999999999</v>
      </c>
      <c r="N399" s="1">
        <v>1</v>
      </c>
      <c r="O399" s="3" t="s">
        <v>21</v>
      </c>
    </row>
    <row r="400" spans="1:15" x14ac:dyDescent="0.3">
      <c r="A400" s="1" t="s">
        <v>819</v>
      </c>
      <c r="B400" s="1" t="s">
        <v>820</v>
      </c>
      <c r="C400" s="2">
        <v>37556.01</v>
      </c>
      <c r="D400" s="1" t="s">
        <v>51</v>
      </c>
      <c r="E400" s="1" t="s">
        <v>29</v>
      </c>
      <c r="F400" s="1" t="s">
        <v>19</v>
      </c>
      <c r="G400" s="1" t="s">
        <v>36</v>
      </c>
      <c r="H400" s="1">
        <v>1410</v>
      </c>
      <c r="I400" s="1">
        <v>10</v>
      </c>
      <c r="J400" s="1">
        <v>0</v>
      </c>
      <c r="K400" s="2">
        <v>26787.77</v>
      </c>
      <c r="L400" s="1">
        <v>0</v>
      </c>
      <c r="M400" s="1">
        <v>0.44700000000000001</v>
      </c>
      <c r="N400" s="1">
        <v>1</v>
      </c>
      <c r="O400" s="3" t="s">
        <v>21</v>
      </c>
    </row>
    <row r="401" spans="1:15" x14ac:dyDescent="0.3">
      <c r="A401" s="1" t="s">
        <v>821</v>
      </c>
      <c r="B401" s="1" t="s">
        <v>822</v>
      </c>
      <c r="C401" s="2">
        <v>37739.42</v>
      </c>
      <c r="D401" s="1" t="s">
        <v>24</v>
      </c>
      <c r="E401" s="1" t="s">
        <v>29</v>
      </c>
      <c r="F401" s="1" t="s">
        <v>30</v>
      </c>
      <c r="G401" s="1" t="s">
        <v>31</v>
      </c>
      <c r="H401" s="1">
        <v>1575</v>
      </c>
      <c r="I401" s="1">
        <v>17</v>
      </c>
      <c r="J401" s="1">
        <v>4</v>
      </c>
      <c r="K401" s="2">
        <v>26688.83</v>
      </c>
      <c r="L401" s="1">
        <v>0</v>
      </c>
      <c r="M401" s="1">
        <v>0.94099999999999995</v>
      </c>
      <c r="N401" s="1">
        <v>4</v>
      </c>
      <c r="O401" s="4" t="s">
        <v>1936</v>
      </c>
    </row>
    <row r="402" spans="1:15" x14ac:dyDescent="0.3">
      <c r="A402" s="1" t="s">
        <v>823</v>
      </c>
      <c r="B402" s="1" t="s">
        <v>824</v>
      </c>
      <c r="C402" s="2">
        <v>5201.04</v>
      </c>
      <c r="D402" s="1" t="s">
        <v>24</v>
      </c>
      <c r="E402" s="1" t="s">
        <v>18</v>
      </c>
      <c r="F402" s="1" t="s">
        <v>26</v>
      </c>
      <c r="G402" s="1" t="s">
        <v>36</v>
      </c>
      <c r="H402" s="1">
        <v>1434</v>
      </c>
      <c r="I402" s="1">
        <v>13</v>
      </c>
      <c r="J402" s="1">
        <v>4</v>
      </c>
      <c r="K402" s="2">
        <v>11673.16</v>
      </c>
      <c r="L402" s="1">
        <v>0</v>
      </c>
      <c r="M402" s="1">
        <v>0.112</v>
      </c>
      <c r="N402" s="1">
        <v>1</v>
      </c>
      <c r="O402" s="3" t="s">
        <v>21</v>
      </c>
    </row>
    <row r="403" spans="1:15" x14ac:dyDescent="0.3">
      <c r="A403" s="1" t="s">
        <v>825</v>
      </c>
      <c r="B403" s="1" t="s">
        <v>826</v>
      </c>
      <c r="C403" s="2">
        <v>45132.52</v>
      </c>
      <c r="D403" s="1" t="s">
        <v>51</v>
      </c>
      <c r="E403" s="1" t="s">
        <v>39</v>
      </c>
      <c r="F403" s="1" t="s">
        <v>30</v>
      </c>
      <c r="G403" s="1" t="s">
        <v>46</v>
      </c>
      <c r="H403" s="1">
        <v>682</v>
      </c>
      <c r="I403" s="1">
        <v>15</v>
      </c>
      <c r="J403" s="1">
        <v>0</v>
      </c>
      <c r="K403" s="2">
        <v>4208.07</v>
      </c>
      <c r="L403" s="1">
        <v>0</v>
      </c>
      <c r="M403" s="1">
        <v>0.94299999999999995</v>
      </c>
      <c r="N403" s="1">
        <v>3</v>
      </c>
      <c r="O403" s="3" t="s">
        <v>21</v>
      </c>
    </row>
    <row r="404" spans="1:15" x14ac:dyDescent="0.3">
      <c r="A404" s="1" t="s">
        <v>827</v>
      </c>
      <c r="B404" s="1" t="s">
        <v>828</v>
      </c>
      <c r="C404" s="2">
        <v>25287.360000000001</v>
      </c>
      <c r="D404" s="1" t="s">
        <v>51</v>
      </c>
      <c r="E404" s="1" t="s">
        <v>29</v>
      </c>
      <c r="F404" s="1" t="s">
        <v>26</v>
      </c>
      <c r="G404" s="1" t="s">
        <v>20</v>
      </c>
      <c r="H404" s="1">
        <v>1433</v>
      </c>
      <c r="I404" s="1">
        <v>0</v>
      </c>
      <c r="J404" s="1">
        <v>4</v>
      </c>
      <c r="K404" s="2">
        <v>10829.05</v>
      </c>
      <c r="L404" s="1">
        <v>0</v>
      </c>
      <c r="M404" s="1">
        <v>0.57299999999999995</v>
      </c>
      <c r="N404" s="1">
        <v>7</v>
      </c>
      <c r="O404" s="3" t="s">
        <v>21</v>
      </c>
    </row>
    <row r="405" spans="1:15" x14ac:dyDescent="0.3">
      <c r="A405" s="1" t="s">
        <v>829</v>
      </c>
      <c r="B405" s="1" t="s">
        <v>830</v>
      </c>
      <c r="C405" s="2">
        <v>41331.550000000003</v>
      </c>
      <c r="D405" s="1" t="s">
        <v>17</v>
      </c>
      <c r="E405" s="1" t="s">
        <v>29</v>
      </c>
      <c r="F405" s="1" t="s">
        <v>19</v>
      </c>
      <c r="G405" s="1" t="s">
        <v>20</v>
      </c>
      <c r="H405" s="1">
        <v>408</v>
      </c>
      <c r="I405" s="1">
        <v>23</v>
      </c>
      <c r="J405" s="1">
        <v>3</v>
      </c>
      <c r="K405" s="2">
        <v>3949.32</v>
      </c>
      <c r="L405" s="1">
        <v>0</v>
      </c>
      <c r="M405" s="1">
        <v>0.28799999999999998</v>
      </c>
      <c r="N405" s="1">
        <v>3</v>
      </c>
      <c r="O405" s="3" t="s">
        <v>21</v>
      </c>
    </row>
    <row r="406" spans="1:15" x14ac:dyDescent="0.3">
      <c r="A406" s="1" t="s">
        <v>831</v>
      </c>
      <c r="B406" s="1" t="s">
        <v>832</v>
      </c>
      <c r="C406" s="2">
        <v>16036.48</v>
      </c>
      <c r="D406" s="1" t="s">
        <v>17</v>
      </c>
      <c r="E406" s="1" t="s">
        <v>39</v>
      </c>
      <c r="F406" s="1" t="s">
        <v>30</v>
      </c>
      <c r="G406" s="1" t="s">
        <v>20</v>
      </c>
      <c r="H406" s="1">
        <v>918</v>
      </c>
      <c r="I406" s="1">
        <v>9</v>
      </c>
      <c r="J406" s="1">
        <v>4</v>
      </c>
      <c r="K406" s="2">
        <v>9190.98</v>
      </c>
      <c r="L406" s="1">
        <v>1</v>
      </c>
      <c r="M406" s="1">
        <v>0.86899999999999999</v>
      </c>
      <c r="N406" s="1">
        <v>2</v>
      </c>
      <c r="O406" s="3" t="s">
        <v>21</v>
      </c>
    </row>
    <row r="407" spans="1:15" x14ac:dyDescent="0.3">
      <c r="A407" s="1" t="s">
        <v>833</v>
      </c>
      <c r="B407" s="1" t="s">
        <v>834</v>
      </c>
      <c r="C407" s="2">
        <v>44781.39</v>
      </c>
      <c r="D407" s="1" t="s">
        <v>24</v>
      </c>
      <c r="E407" s="1" t="s">
        <v>25</v>
      </c>
      <c r="F407" s="1" t="s">
        <v>19</v>
      </c>
      <c r="G407" s="1" t="s">
        <v>36</v>
      </c>
      <c r="H407" s="1">
        <v>496</v>
      </c>
      <c r="I407" s="1">
        <v>9</v>
      </c>
      <c r="J407" s="1">
        <v>4</v>
      </c>
      <c r="K407" s="2">
        <v>23158.33</v>
      </c>
      <c r="L407" s="1">
        <v>0</v>
      </c>
      <c r="M407" s="1">
        <v>0.05</v>
      </c>
      <c r="N407" s="1">
        <v>6</v>
      </c>
      <c r="O407" s="3" t="s">
        <v>21</v>
      </c>
    </row>
    <row r="408" spans="1:15" x14ac:dyDescent="0.3">
      <c r="A408" s="1" t="s">
        <v>835</v>
      </c>
      <c r="B408" s="1" t="s">
        <v>836</v>
      </c>
      <c r="C408" s="2">
        <v>19490.62</v>
      </c>
      <c r="D408" s="1" t="s">
        <v>17</v>
      </c>
      <c r="E408" s="1" t="s">
        <v>39</v>
      </c>
      <c r="F408" s="1" t="s">
        <v>30</v>
      </c>
      <c r="G408" s="1" t="s">
        <v>20</v>
      </c>
      <c r="H408" s="1">
        <v>1548</v>
      </c>
      <c r="I408" s="1">
        <v>12</v>
      </c>
      <c r="J408" s="1">
        <v>3</v>
      </c>
      <c r="K408" s="2">
        <v>8829.2000000000007</v>
      </c>
      <c r="L408" s="1">
        <v>0</v>
      </c>
      <c r="M408" s="1">
        <v>0.31900000000000001</v>
      </c>
      <c r="N408" s="1">
        <v>8</v>
      </c>
      <c r="O408" s="4" t="s">
        <v>1936</v>
      </c>
    </row>
    <row r="409" spans="1:15" x14ac:dyDescent="0.3">
      <c r="A409" s="1" t="s">
        <v>837</v>
      </c>
      <c r="B409" s="1" t="s">
        <v>838</v>
      </c>
      <c r="C409" s="2">
        <v>591.34</v>
      </c>
      <c r="D409" s="1" t="s">
        <v>24</v>
      </c>
      <c r="E409" s="1" t="s">
        <v>25</v>
      </c>
      <c r="F409" s="1" t="s">
        <v>26</v>
      </c>
      <c r="G409" s="1" t="s">
        <v>56</v>
      </c>
      <c r="H409" s="1">
        <v>1057</v>
      </c>
      <c r="I409" s="1">
        <v>0</v>
      </c>
      <c r="J409" s="1">
        <v>4</v>
      </c>
      <c r="K409" s="2">
        <v>16371.64</v>
      </c>
      <c r="L409" s="1">
        <v>0</v>
      </c>
      <c r="M409" s="1">
        <v>0.753</v>
      </c>
      <c r="N409" s="1">
        <v>4</v>
      </c>
      <c r="O409" s="3" t="s">
        <v>21</v>
      </c>
    </row>
    <row r="410" spans="1:15" x14ac:dyDescent="0.3">
      <c r="A410" s="1" t="s">
        <v>839</v>
      </c>
      <c r="B410" s="1" t="s">
        <v>840</v>
      </c>
      <c r="C410" s="2">
        <v>45273.83</v>
      </c>
      <c r="D410" s="1" t="s">
        <v>24</v>
      </c>
      <c r="E410" s="1" t="s">
        <v>25</v>
      </c>
      <c r="F410" s="1" t="s">
        <v>30</v>
      </c>
      <c r="G410" s="1" t="s">
        <v>31</v>
      </c>
      <c r="H410" s="1">
        <v>1952</v>
      </c>
      <c r="I410" s="1">
        <v>2</v>
      </c>
      <c r="J410" s="1">
        <v>3</v>
      </c>
      <c r="K410" s="2">
        <v>3654.31</v>
      </c>
      <c r="L410" s="1">
        <v>0</v>
      </c>
      <c r="M410" s="1">
        <v>0.82799999999999996</v>
      </c>
      <c r="N410" s="1">
        <v>4</v>
      </c>
      <c r="O410" s="3" t="s">
        <v>21</v>
      </c>
    </row>
    <row r="411" spans="1:15" x14ac:dyDescent="0.3">
      <c r="A411" s="1" t="s">
        <v>841</v>
      </c>
      <c r="B411" s="1" t="s">
        <v>842</v>
      </c>
      <c r="C411" s="2">
        <v>4609.7700000000004</v>
      </c>
      <c r="D411" s="1" t="s">
        <v>24</v>
      </c>
      <c r="E411" s="1" t="s">
        <v>39</v>
      </c>
      <c r="F411" s="1" t="s">
        <v>19</v>
      </c>
      <c r="G411" s="1" t="s">
        <v>20</v>
      </c>
      <c r="H411" s="1">
        <v>1092</v>
      </c>
      <c r="I411" s="1">
        <v>13</v>
      </c>
      <c r="J411" s="1">
        <v>2</v>
      </c>
      <c r="K411" s="2">
        <v>10494</v>
      </c>
      <c r="L411" s="1">
        <v>0</v>
      </c>
      <c r="M411" s="1">
        <v>0.16700000000000001</v>
      </c>
      <c r="N411" s="1">
        <v>2</v>
      </c>
      <c r="O411" s="4" t="s">
        <v>1936</v>
      </c>
    </row>
    <row r="412" spans="1:15" x14ac:dyDescent="0.3">
      <c r="A412" s="1" t="s">
        <v>843</v>
      </c>
      <c r="B412" s="1" t="s">
        <v>844</v>
      </c>
      <c r="C412" s="2">
        <v>15999.72</v>
      </c>
      <c r="D412" s="1" t="s">
        <v>17</v>
      </c>
      <c r="E412" s="1" t="s">
        <v>25</v>
      </c>
      <c r="F412" s="1" t="s">
        <v>30</v>
      </c>
      <c r="G412" s="1" t="s">
        <v>56</v>
      </c>
      <c r="H412" s="1">
        <v>758</v>
      </c>
      <c r="I412" s="1">
        <v>20</v>
      </c>
      <c r="J412" s="1">
        <v>2</v>
      </c>
      <c r="K412" s="2">
        <v>1285.17</v>
      </c>
      <c r="L412" s="1">
        <v>1</v>
      </c>
      <c r="M412" s="1">
        <v>0.94199999999999995</v>
      </c>
      <c r="N412" s="1">
        <v>5</v>
      </c>
      <c r="O412" s="3" t="s">
        <v>21</v>
      </c>
    </row>
    <row r="413" spans="1:15" x14ac:dyDescent="0.3">
      <c r="A413" s="1" t="s">
        <v>845</v>
      </c>
      <c r="B413" s="1" t="s">
        <v>846</v>
      </c>
      <c r="C413" s="2">
        <v>47505.599999999999</v>
      </c>
      <c r="D413" s="1" t="s">
        <v>51</v>
      </c>
      <c r="E413" s="1" t="s">
        <v>29</v>
      </c>
      <c r="F413" s="1" t="s">
        <v>19</v>
      </c>
      <c r="G413" s="1" t="s">
        <v>56</v>
      </c>
      <c r="H413" s="1">
        <v>249</v>
      </c>
      <c r="I413" s="1">
        <v>15</v>
      </c>
      <c r="J413" s="1">
        <v>4</v>
      </c>
      <c r="K413" s="2">
        <v>16490.23</v>
      </c>
      <c r="L413" s="1">
        <v>0</v>
      </c>
      <c r="M413" s="1">
        <v>5.3999999999999999E-2</v>
      </c>
      <c r="N413" s="1">
        <v>8</v>
      </c>
      <c r="O413" s="3" t="s">
        <v>21</v>
      </c>
    </row>
    <row r="414" spans="1:15" x14ac:dyDescent="0.3">
      <c r="A414" s="1" t="s">
        <v>847</v>
      </c>
      <c r="B414" s="1" t="s">
        <v>848</v>
      </c>
      <c r="C414" s="2">
        <v>47532.83</v>
      </c>
      <c r="D414" s="1" t="s">
        <v>51</v>
      </c>
      <c r="E414" s="1" t="s">
        <v>18</v>
      </c>
      <c r="F414" s="1" t="s">
        <v>19</v>
      </c>
      <c r="G414" s="1" t="s">
        <v>36</v>
      </c>
      <c r="H414" s="1">
        <v>320</v>
      </c>
      <c r="I414" s="1">
        <v>22</v>
      </c>
      <c r="J414" s="1">
        <v>2</v>
      </c>
      <c r="K414" s="2">
        <v>10493.93</v>
      </c>
      <c r="L414" s="1">
        <v>0</v>
      </c>
      <c r="M414" s="1">
        <v>0.434</v>
      </c>
      <c r="N414" s="1">
        <v>1</v>
      </c>
      <c r="O414" s="3" t="s">
        <v>21</v>
      </c>
    </row>
    <row r="415" spans="1:15" x14ac:dyDescent="0.3">
      <c r="A415" s="1" t="s">
        <v>849</v>
      </c>
      <c r="B415" s="1" t="s">
        <v>850</v>
      </c>
      <c r="C415" s="2">
        <v>28693.22</v>
      </c>
      <c r="D415" s="1" t="s">
        <v>17</v>
      </c>
      <c r="E415" s="1" t="s">
        <v>25</v>
      </c>
      <c r="F415" s="1" t="s">
        <v>26</v>
      </c>
      <c r="G415" s="1" t="s">
        <v>36</v>
      </c>
      <c r="H415" s="1">
        <v>330</v>
      </c>
      <c r="I415" s="1">
        <v>19</v>
      </c>
      <c r="J415" s="1">
        <v>4</v>
      </c>
      <c r="K415" s="2">
        <v>26172.92</v>
      </c>
      <c r="L415" s="1">
        <v>1</v>
      </c>
      <c r="M415" s="1">
        <v>9.7000000000000003E-2</v>
      </c>
      <c r="N415" s="1">
        <v>2</v>
      </c>
      <c r="O415" s="3" t="s">
        <v>21</v>
      </c>
    </row>
    <row r="416" spans="1:15" x14ac:dyDescent="0.3">
      <c r="A416" s="1" t="s">
        <v>851</v>
      </c>
      <c r="B416" s="1" t="s">
        <v>852</v>
      </c>
      <c r="C416" s="2">
        <v>31610.27</v>
      </c>
      <c r="D416" s="1" t="s">
        <v>51</v>
      </c>
      <c r="E416" s="1" t="s">
        <v>29</v>
      </c>
      <c r="F416" s="1" t="s">
        <v>30</v>
      </c>
      <c r="G416" s="1" t="s">
        <v>31</v>
      </c>
      <c r="H416" s="1">
        <v>681</v>
      </c>
      <c r="I416" s="1">
        <v>5</v>
      </c>
      <c r="J416" s="1">
        <v>2</v>
      </c>
      <c r="K416" s="2">
        <v>11837.32</v>
      </c>
      <c r="L416" s="1">
        <v>0</v>
      </c>
      <c r="M416" s="1">
        <v>9.8000000000000004E-2</v>
      </c>
      <c r="N416" s="1">
        <v>1</v>
      </c>
      <c r="O416" s="3" t="s">
        <v>21</v>
      </c>
    </row>
    <row r="417" spans="1:15" x14ac:dyDescent="0.3">
      <c r="A417" s="1" t="s">
        <v>853</v>
      </c>
      <c r="B417" s="1" t="s">
        <v>854</v>
      </c>
      <c r="C417" s="2">
        <v>22449.85</v>
      </c>
      <c r="D417" s="1" t="s">
        <v>24</v>
      </c>
      <c r="E417" s="1" t="s">
        <v>39</v>
      </c>
      <c r="F417" s="1" t="s">
        <v>19</v>
      </c>
      <c r="G417" s="1" t="s">
        <v>31</v>
      </c>
      <c r="H417" s="1">
        <v>1514</v>
      </c>
      <c r="I417" s="1">
        <v>0</v>
      </c>
      <c r="J417" s="1">
        <v>4</v>
      </c>
      <c r="K417" s="2">
        <v>16777.48</v>
      </c>
      <c r="L417" s="1">
        <v>0</v>
      </c>
      <c r="M417" s="1">
        <v>0.91400000000000003</v>
      </c>
      <c r="N417" s="1">
        <v>4</v>
      </c>
      <c r="O417" s="4" t="s">
        <v>1936</v>
      </c>
    </row>
    <row r="418" spans="1:15" x14ac:dyDescent="0.3">
      <c r="A418" s="1" t="s">
        <v>855</v>
      </c>
      <c r="B418" s="1" t="s">
        <v>856</v>
      </c>
      <c r="C418" s="2">
        <v>14695.88</v>
      </c>
      <c r="D418" s="1" t="s">
        <v>51</v>
      </c>
      <c r="E418" s="1" t="s">
        <v>25</v>
      </c>
      <c r="F418" s="1" t="s">
        <v>26</v>
      </c>
      <c r="G418" s="1" t="s">
        <v>46</v>
      </c>
      <c r="H418" s="1">
        <v>581</v>
      </c>
      <c r="I418" s="1">
        <v>19</v>
      </c>
      <c r="J418" s="1">
        <v>1</v>
      </c>
      <c r="K418" s="2">
        <v>29301.66</v>
      </c>
      <c r="L418" s="1">
        <v>0</v>
      </c>
      <c r="M418" s="1">
        <v>0.90400000000000003</v>
      </c>
      <c r="N418" s="1">
        <v>7</v>
      </c>
      <c r="O418" s="3" t="s">
        <v>21</v>
      </c>
    </row>
    <row r="419" spans="1:15" x14ac:dyDescent="0.3">
      <c r="A419" s="1" t="s">
        <v>857</v>
      </c>
      <c r="B419" s="1" t="s">
        <v>858</v>
      </c>
      <c r="C419" s="2">
        <v>16466.79</v>
      </c>
      <c r="D419" s="1" t="s">
        <v>17</v>
      </c>
      <c r="E419" s="1" t="s">
        <v>29</v>
      </c>
      <c r="F419" s="1" t="s">
        <v>26</v>
      </c>
      <c r="G419" s="1" t="s">
        <v>31</v>
      </c>
      <c r="H419" s="1">
        <v>1785</v>
      </c>
      <c r="I419" s="1">
        <v>23</v>
      </c>
      <c r="J419" s="1">
        <v>0</v>
      </c>
      <c r="K419" s="2">
        <v>19316.91</v>
      </c>
      <c r="L419" s="1">
        <v>0</v>
      </c>
      <c r="M419" s="1">
        <v>0.61499999999999999</v>
      </c>
      <c r="N419" s="1">
        <v>3</v>
      </c>
      <c r="O419" s="3" t="s">
        <v>21</v>
      </c>
    </row>
    <row r="420" spans="1:15" x14ac:dyDescent="0.3">
      <c r="A420" s="1" t="s">
        <v>859</v>
      </c>
      <c r="B420" s="1" t="s">
        <v>860</v>
      </c>
      <c r="C420" s="2">
        <v>33642.300000000003</v>
      </c>
      <c r="D420" s="1" t="s">
        <v>51</v>
      </c>
      <c r="E420" s="1" t="s">
        <v>25</v>
      </c>
      <c r="F420" s="1" t="s">
        <v>26</v>
      </c>
      <c r="G420" s="1" t="s">
        <v>36</v>
      </c>
      <c r="H420" s="1">
        <v>423</v>
      </c>
      <c r="I420" s="1">
        <v>4</v>
      </c>
      <c r="J420" s="1">
        <v>2</v>
      </c>
      <c r="K420" s="2">
        <v>15064.11</v>
      </c>
      <c r="L420" s="1">
        <v>0</v>
      </c>
      <c r="M420" s="1">
        <v>0.96599999999999997</v>
      </c>
      <c r="N420" s="1">
        <v>8</v>
      </c>
      <c r="O420" s="3" t="s">
        <v>21</v>
      </c>
    </row>
    <row r="421" spans="1:15" x14ac:dyDescent="0.3">
      <c r="A421" s="1" t="s">
        <v>861</v>
      </c>
      <c r="B421" s="1" t="s">
        <v>862</v>
      </c>
      <c r="C421" s="2">
        <v>37631.11</v>
      </c>
      <c r="D421" s="1" t="s">
        <v>24</v>
      </c>
      <c r="E421" s="1" t="s">
        <v>39</v>
      </c>
      <c r="F421" s="1" t="s">
        <v>19</v>
      </c>
      <c r="G421" s="1" t="s">
        <v>56</v>
      </c>
      <c r="H421" s="1">
        <v>1355</v>
      </c>
      <c r="I421" s="1">
        <v>7</v>
      </c>
      <c r="J421" s="1">
        <v>3</v>
      </c>
      <c r="K421" s="2">
        <v>3033.93</v>
      </c>
      <c r="L421" s="1">
        <v>0</v>
      </c>
      <c r="M421" s="1">
        <v>0.49099999999999999</v>
      </c>
      <c r="N421" s="1">
        <v>6</v>
      </c>
      <c r="O421" s="3" t="s">
        <v>21</v>
      </c>
    </row>
    <row r="422" spans="1:15" x14ac:dyDescent="0.3">
      <c r="A422" s="1" t="s">
        <v>863</v>
      </c>
      <c r="B422" s="1" t="s">
        <v>864</v>
      </c>
      <c r="C422" s="2">
        <v>39589.370000000003</v>
      </c>
      <c r="D422" s="1" t="s">
        <v>24</v>
      </c>
      <c r="E422" s="1" t="s">
        <v>18</v>
      </c>
      <c r="F422" s="1" t="s">
        <v>30</v>
      </c>
      <c r="G422" s="1" t="s">
        <v>46</v>
      </c>
      <c r="H422" s="1">
        <v>411</v>
      </c>
      <c r="I422" s="1">
        <v>11</v>
      </c>
      <c r="J422" s="1">
        <v>0</v>
      </c>
      <c r="K422" s="2">
        <v>24646.83</v>
      </c>
      <c r="L422" s="1">
        <v>0</v>
      </c>
      <c r="M422" s="1">
        <v>0.78300000000000003</v>
      </c>
      <c r="N422" s="1">
        <v>2</v>
      </c>
      <c r="O422" s="3" t="s">
        <v>21</v>
      </c>
    </row>
    <row r="423" spans="1:15" x14ac:dyDescent="0.3">
      <c r="A423" s="1" t="s">
        <v>865</v>
      </c>
      <c r="B423" s="1" t="s">
        <v>866</v>
      </c>
      <c r="C423" s="2">
        <v>39491.43</v>
      </c>
      <c r="D423" s="1" t="s">
        <v>17</v>
      </c>
      <c r="E423" s="1" t="s">
        <v>25</v>
      </c>
      <c r="F423" s="1" t="s">
        <v>19</v>
      </c>
      <c r="G423" s="1" t="s">
        <v>31</v>
      </c>
      <c r="H423" s="1">
        <v>68</v>
      </c>
      <c r="I423" s="1">
        <v>0</v>
      </c>
      <c r="J423" s="1">
        <v>4</v>
      </c>
      <c r="K423" s="2">
        <v>19307.259999999998</v>
      </c>
      <c r="L423" s="1">
        <v>0</v>
      </c>
      <c r="M423" s="1">
        <v>9.7000000000000003E-2</v>
      </c>
      <c r="N423" s="1">
        <v>9</v>
      </c>
      <c r="O423" s="3" t="s">
        <v>21</v>
      </c>
    </row>
    <row r="424" spans="1:15" x14ac:dyDescent="0.3">
      <c r="A424" s="1" t="s">
        <v>867</v>
      </c>
      <c r="B424" s="1" t="s">
        <v>868</v>
      </c>
      <c r="C424" s="2">
        <v>4605.74</v>
      </c>
      <c r="D424" s="1" t="s">
        <v>17</v>
      </c>
      <c r="E424" s="1" t="s">
        <v>18</v>
      </c>
      <c r="F424" s="1" t="s">
        <v>26</v>
      </c>
      <c r="G424" s="1" t="s">
        <v>56</v>
      </c>
      <c r="H424" s="1">
        <v>62</v>
      </c>
      <c r="I424" s="1">
        <v>12</v>
      </c>
      <c r="J424" s="1">
        <v>0</v>
      </c>
      <c r="K424" s="2">
        <v>3344.88</v>
      </c>
      <c r="L424" s="1">
        <v>0</v>
      </c>
      <c r="M424" s="1">
        <v>0.39600000000000002</v>
      </c>
      <c r="N424" s="1">
        <v>9</v>
      </c>
      <c r="O424" s="3" t="s">
        <v>21</v>
      </c>
    </row>
    <row r="425" spans="1:15" x14ac:dyDescent="0.3">
      <c r="A425" s="1" t="s">
        <v>869</v>
      </c>
      <c r="B425" s="1" t="s">
        <v>870</v>
      </c>
      <c r="C425" s="2">
        <v>24746.29</v>
      </c>
      <c r="D425" s="1" t="s">
        <v>17</v>
      </c>
      <c r="E425" s="1" t="s">
        <v>25</v>
      </c>
      <c r="F425" s="1" t="s">
        <v>19</v>
      </c>
      <c r="G425" s="1" t="s">
        <v>36</v>
      </c>
      <c r="H425" s="1">
        <v>1097</v>
      </c>
      <c r="I425" s="1">
        <v>8</v>
      </c>
      <c r="J425" s="1">
        <v>3</v>
      </c>
      <c r="K425" s="2">
        <v>7445.51</v>
      </c>
      <c r="L425" s="1">
        <v>0</v>
      </c>
      <c r="M425" s="1">
        <v>0.51500000000000001</v>
      </c>
      <c r="N425" s="1">
        <v>7</v>
      </c>
      <c r="O425" s="3" t="s">
        <v>21</v>
      </c>
    </row>
    <row r="426" spans="1:15" x14ac:dyDescent="0.3">
      <c r="A426" s="1" t="s">
        <v>871</v>
      </c>
      <c r="B426" s="1" t="s">
        <v>872</v>
      </c>
      <c r="C426" s="2">
        <v>2925.06</v>
      </c>
      <c r="D426" s="1" t="s">
        <v>24</v>
      </c>
      <c r="E426" s="1" t="s">
        <v>25</v>
      </c>
      <c r="F426" s="1" t="s">
        <v>19</v>
      </c>
      <c r="G426" s="1" t="s">
        <v>20</v>
      </c>
      <c r="H426" s="1">
        <v>642</v>
      </c>
      <c r="I426" s="1">
        <v>19</v>
      </c>
      <c r="J426" s="1">
        <v>3</v>
      </c>
      <c r="K426" s="2">
        <v>16175.66</v>
      </c>
      <c r="L426" s="1">
        <v>0</v>
      </c>
      <c r="M426" s="1">
        <v>0.77800000000000002</v>
      </c>
      <c r="N426" s="1">
        <v>8</v>
      </c>
      <c r="O426" s="3" t="s">
        <v>21</v>
      </c>
    </row>
    <row r="427" spans="1:15" x14ac:dyDescent="0.3">
      <c r="A427" s="1" t="s">
        <v>873</v>
      </c>
      <c r="B427" s="1" t="s">
        <v>874</v>
      </c>
      <c r="C427" s="2">
        <v>27498.97</v>
      </c>
      <c r="D427" s="1" t="s">
        <v>51</v>
      </c>
      <c r="E427" s="1" t="s">
        <v>39</v>
      </c>
      <c r="F427" s="1" t="s">
        <v>26</v>
      </c>
      <c r="G427" s="1" t="s">
        <v>46</v>
      </c>
      <c r="H427" s="1">
        <v>1152</v>
      </c>
      <c r="I427" s="1">
        <v>23</v>
      </c>
      <c r="J427" s="1">
        <v>4</v>
      </c>
      <c r="K427" s="2">
        <v>1447.37</v>
      </c>
      <c r="L427" s="1">
        <v>0</v>
      </c>
      <c r="M427" s="1">
        <v>0.33400000000000002</v>
      </c>
      <c r="N427" s="1">
        <v>1</v>
      </c>
      <c r="O427" s="4" t="s">
        <v>1936</v>
      </c>
    </row>
    <row r="428" spans="1:15" x14ac:dyDescent="0.3">
      <c r="A428" s="1" t="s">
        <v>875</v>
      </c>
      <c r="B428" s="1" t="s">
        <v>876</v>
      </c>
      <c r="C428" s="2">
        <v>22104.45</v>
      </c>
      <c r="D428" s="1" t="s">
        <v>51</v>
      </c>
      <c r="E428" s="1" t="s">
        <v>25</v>
      </c>
      <c r="F428" s="1" t="s">
        <v>30</v>
      </c>
      <c r="G428" s="1" t="s">
        <v>56</v>
      </c>
      <c r="H428" s="1">
        <v>295</v>
      </c>
      <c r="I428" s="1">
        <v>7</v>
      </c>
      <c r="J428" s="1">
        <v>2</v>
      </c>
      <c r="K428" s="2">
        <v>21577.47</v>
      </c>
      <c r="L428" s="1">
        <v>0</v>
      </c>
      <c r="M428" s="1">
        <v>0.98</v>
      </c>
      <c r="N428" s="1">
        <v>6</v>
      </c>
      <c r="O428" s="3" t="s">
        <v>21</v>
      </c>
    </row>
    <row r="429" spans="1:15" x14ac:dyDescent="0.3">
      <c r="A429" s="1" t="s">
        <v>877</v>
      </c>
      <c r="B429" s="1" t="s">
        <v>878</v>
      </c>
      <c r="C429" s="2">
        <v>44390.82</v>
      </c>
      <c r="D429" s="1" t="s">
        <v>17</v>
      </c>
      <c r="E429" s="1" t="s">
        <v>29</v>
      </c>
      <c r="F429" s="1" t="s">
        <v>26</v>
      </c>
      <c r="G429" s="1" t="s">
        <v>36</v>
      </c>
      <c r="H429" s="1">
        <v>27</v>
      </c>
      <c r="I429" s="1">
        <v>12</v>
      </c>
      <c r="J429" s="1">
        <v>2</v>
      </c>
      <c r="K429" s="2">
        <v>6911.04</v>
      </c>
      <c r="L429" s="1">
        <v>0</v>
      </c>
      <c r="M429" s="1">
        <v>0.73499999999999999</v>
      </c>
      <c r="N429" s="1">
        <v>9</v>
      </c>
      <c r="O429" s="3" t="s">
        <v>21</v>
      </c>
    </row>
    <row r="430" spans="1:15" x14ac:dyDescent="0.3">
      <c r="A430" s="1" t="s">
        <v>879</v>
      </c>
      <c r="B430" s="1" t="s">
        <v>880</v>
      </c>
      <c r="C430" s="2">
        <v>17578.2</v>
      </c>
      <c r="D430" s="1" t="s">
        <v>51</v>
      </c>
      <c r="E430" s="1" t="s">
        <v>29</v>
      </c>
      <c r="F430" s="1" t="s">
        <v>26</v>
      </c>
      <c r="G430" s="1" t="s">
        <v>36</v>
      </c>
      <c r="H430" s="1">
        <v>1038</v>
      </c>
      <c r="I430" s="1">
        <v>1</v>
      </c>
      <c r="J430" s="1">
        <v>1</v>
      </c>
      <c r="K430" s="2">
        <v>14742.35</v>
      </c>
      <c r="L430" s="1">
        <v>0</v>
      </c>
      <c r="M430" s="1">
        <v>0.53300000000000003</v>
      </c>
      <c r="N430" s="1">
        <v>6</v>
      </c>
      <c r="O430" s="4" t="s">
        <v>1936</v>
      </c>
    </row>
    <row r="431" spans="1:15" x14ac:dyDescent="0.3">
      <c r="A431" s="1" t="s">
        <v>881</v>
      </c>
      <c r="B431" s="1" t="s">
        <v>882</v>
      </c>
      <c r="C431" s="2">
        <v>5897.5</v>
      </c>
      <c r="D431" s="1" t="s">
        <v>51</v>
      </c>
      <c r="E431" s="1" t="s">
        <v>18</v>
      </c>
      <c r="F431" s="1" t="s">
        <v>19</v>
      </c>
      <c r="G431" s="1" t="s">
        <v>46</v>
      </c>
      <c r="H431" s="1">
        <v>1870</v>
      </c>
      <c r="I431" s="1">
        <v>14</v>
      </c>
      <c r="J431" s="1">
        <v>3</v>
      </c>
      <c r="K431" s="2">
        <v>7325.14</v>
      </c>
      <c r="L431" s="1">
        <v>1</v>
      </c>
      <c r="M431" s="1">
        <v>0.33100000000000002</v>
      </c>
      <c r="N431" s="1">
        <v>3</v>
      </c>
      <c r="O431" s="3" t="s">
        <v>21</v>
      </c>
    </row>
    <row r="432" spans="1:15" x14ac:dyDescent="0.3">
      <c r="A432" s="1" t="s">
        <v>883</v>
      </c>
      <c r="B432" s="1" t="s">
        <v>884</v>
      </c>
      <c r="C432" s="2">
        <v>7192.43</v>
      </c>
      <c r="D432" s="1" t="s">
        <v>17</v>
      </c>
      <c r="E432" s="1" t="s">
        <v>18</v>
      </c>
      <c r="F432" s="1" t="s">
        <v>26</v>
      </c>
      <c r="G432" s="1" t="s">
        <v>46</v>
      </c>
      <c r="H432" s="1">
        <v>1425</v>
      </c>
      <c r="I432" s="1">
        <v>13</v>
      </c>
      <c r="J432" s="1">
        <v>1</v>
      </c>
      <c r="K432" s="2">
        <v>14726.69</v>
      </c>
      <c r="L432" s="1">
        <v>0</v>
      </c>
      <c r="M432" s="1">
        <v>0.64200000000000002</v>
      </c>
      <c r="N432" s="1">
        <v>2</v>
      </c>
      <c r="O432" s="3" t="s">
        <v>21</v>
      </c>
    </row>
    <row r="433" spans="1:15" x14ac:dyDescent="0.3">
      <c r="A433" s="1" t="s">
        <v>885</v>
      </c>
      <c r="B433" s="1" t="s">
        <v>174</v>
      </c>
      <c r="C433" s="2">
        <v>38087.46</v>
      </c>
      <c r="D433" s="1" t="s">
        <v>17</v>
      </c>
      <c r="E433" s="1" t="s">
        <v>29</v>
      </c>
      <c r="F433" s="1" t="s">
        <v>19</v>
      </c>
      <c r="G433" s="1" t="s">
        <v>31</v>
      </c>
      <c r="H433" s="1">
        <v>1938</v>
      </c>
      <c r="I433" s="1">
        <v>18</v>
      </c>
      <c r="J433" s="1">
        <v>3</v>
      </c>
      <c r="K433" s="2">
        <v>5771.4</v>
      </c>
      <c r="L433" s="1">
        <v>0</v>
      </c>
      <c r="M433" s="1">
        <v>0.67300000000000004</v>
      </c>
      <c r="N433" s="1">
        <v>8</v>
      </c>
      <c r="O433" s="3" t="s">
        <v>21</v>
      </c>
    </row>
    <row r="434" spans="1:15" x14ac:dyDescent="0.3">
      <c r="A434" s="1" t="s">
        <v>886</v>
      </c>
      <c r="B434" s="1" t="s">
        <v>887</v>
      </c>
      <c r="C434" s="2">
        <v>30929.99</v>
      </c>
      <c r="D434" s="1" t="s">
        <v>24</v>
      </c>
      <c r="E434" s="1" t="s">
        <v>18</v>
      </c>
      <c r="F434" s="1" t="s">
        <v>26</v>
      </c>
      <c r="G434" s="1" t="s">
        <v>31</v>
      </c>
      <c r="H434" s="1">
        <v>169</v>
      </c>
      <c r="I434" s="1">
        <v>8</v>
      </c>
      <c r="J434" s="1">
        <v>1</v>
      </c>
      <c r="K434" s="2">
        <v>17858.23</v>
      </c>
      <c r="L434" s="1">
        <v>0</v>
      </c>
      <c r="M434" s="1">
        <v>0.67900000000000005</v>
      </c>
      <c r="N434" s="1">
        <v>4</v>
      </c>
      <c r="O434" s="3" t="s">
        <v>21</v>
      </c>
    </row>
    <row r="435" spans="1:15" x14ac:dyDescent="0.3">
      <c r="A435" s="1" t="s">
        <v>888</v>
      </c>
      <c r="B435" s="1" t="s">
        <v>889</v>
      </c>
      <c r="C435" s="2">
        <v>5101.08</v>
      </c>
      <c r="D435" s="1" t="s">
        <v>24</v>
      </c>
      <c r="E435" s="1" t="s">
        <v>18</v>
      </c>
      <c r="F435" s="1" t="s">
        <v>26</v>
      </c>
      <c r="G435" s="1" t="s">
        <v>46</v>
      </c>
      <c r="H435" s="1">
        <v>1921</v>
      </c>
      <c r="I435" s="1">
        <v>18</v>
      </c>
      <c r="J435" s="1">
        <v>2</v>
      </c>
      <c r="K435" s="2">
        <v>27321.16</v>
      </c>
      <c r="L435" s="1">
        <v>1</v>
      </c>
      <c r="M435" s="1">
        <v>0.58599999999999997</v>
      </c>
      <c r="N435" s="1">
        <v>1</v>
      </c>
      <c r="O435" s="3" t="s">
        <v>21</v>
      </c>
    </row>
    <row r="436" spans="1:15" x14ac:dyDescent="0.3">
      <c r="A436" s="1" t="s">
        <v>890</v>
      </c>
      <c r="B436" s="1" t="s">
        <v>891</v>
      </c>
      <c r="C436" s="2">
        <v>4251.13</v>
      </c>
      <c r="D436" s="1" t="s">
        <v>24</v>
      </c>
      <c r="E436" s="1" t="s">
        <v>29</v>
      </c>
      <c r="F436" s="1" t="s">
        <v>30</v>
      </c>
      <c r="G436" s="1" t="s">
        <v>46</v>
      </c>
      <c r="H436" s="1">
        <v>151</v>
      </c>
      <c r="I436" s="1">
        <v>13</v>
      </c>
      <c r="J436" s="1">
        <v>3</v>
      </c>
      <c r="K436" s="2">
        <v>24239.34</v>
      </c>
      <c r="L436" s="1">
        <v>0</v>
      </c>
      <c r="M436" s="1">
        <v>0.4</v>
      </c>
      <c r="N436" s="1">
        <v>8</v>
      </c>
      <c r="O436" s="3" t="s">
        <v>21</v>
      </c>
    </row>
    <row r="437" spans="1:15" x14ac:dyDescent="0.3">
      <c r="A437" s="1" t="s">
        <v>892</v>
      </c>
      <c r="B437" s="1" t="s">
        <v>893</v>
      </c>
      <c r="C437" s="2">
        <v>35063.410000000003</v>
      </c>
      <c r="D437" s="1" t="s">
        <v>24</v>
      </c>
      <c r="E437" s="1" t="s">
        <v>29</v>
      </c>
      <c r="F437" s="1" t="s">
        <v>26</v>
      </c>
      <c r="G437" s="1" t="s">
        <v>56</v>
      </c>
      <c r="H437" s="1">
        <v>406</v>
      </c>
      <c r="I437" s="1">
        <v>7</v>
      </c>
      <c r="J437" s="1">
        <v>2</v>
      </c>
      <c r="K437" s="2">
        <v>7321.47</v>
      </c>
      <c r="L437" s="1">
        <v>0</v>
      </c>
      <c r="M437" s="1">
        <v>0.81699999999999995</v>
      </c>
      <c r="N437" s="1">
        <v>1</v>
      </c>
      <c r="O437" s="3" t="s">
        <v>21</v>
      </c>
    </row>
    <row r="438" spans="1:15" x14ac:dyDescent="0.3">
      <c r="A438" s="1" t="s">
        <v>894</v>
      </c>
      <c r="B438" s="1" t="s">
        <v>895</v>
      </c>
      <c r="C438" s="2">
        <v>3684.51</v>
      </c>
      <c r="D438" s="1" t="s">
        <v>51</v>
      </c>
      <c r="E438" s="1" t="s">
        <v>29</v>
      </c>
      <c r="F438" s="1" t="s">
        <v>30</v>
      </c>
      <c r="G438" s="1" t="s">
        <v>31</v>
      </c>
      <c r="H438" s="1">
        <v>1051</v>
      </c>
      <c r="I438" s="1">
        <v>4</v>
      </c>
      <c r="J438" s="1">
        <v>0</v>
      </c>
      <c r="K438" s="2">
        <v>14993.47</v>
      </c>
      <c r="L438" s="1">
        <v>0</v>
      </c>
      <c r="M438" s="1">
        <v>0.25800000000000001</v>
      </c>
      <c r="N438" s="1">
        <v>2</v>
      </c>
      <c r="O438" s="3" t="s">
        <v>21</v>
      </c>
    </row>
    <row r="439" spans="1:15" x14ac:dyDescent="0.3">
      <c r="A439" s="1" t="s">
        <v>896</v>
      </c>
      <c r="B439" s="1" t="s">
        <v>897</v>
      </c>
      <c r="C439" s="2">
        <v>41101.910000000003</v>
      </c>
      <c r="D439" s="1" t="s">
        <v>51</v>
      </c>
      <c r="E439" s="1" t="s">
        <v>39</v>
      </c>
      <c r="F439" s="1" t="s">
        <v>26</v>
      </c>
      <c r="G439" s="1" t="s">
        <v>36</v>
      </c>
      <c r="H439" s="1">
        <v>589</v>
      </c>
      <c r="I439" s="1">
        <v>6</v>
      </c>
      <c r="J439" s="1">
        <v>2</v>
      </c>
      <c r="K439" s="2">
        <v>12750.94</v>
      </c>
      <c r="L439" s="1">
        <v>0</v>
      </c>
      <c r="M439" s="1">
        <v>0.625</v>
      </c>
      <c r="N439" s="1">
        <v>1</v>
      </c>
      <c r="O439" s="3" t="s">
        <v>21</v>
      </c>
    </row>
    <row r="440" spans="1:15" x14ac:dyDescent="0.3">
      <c r="A440" s="1" t="s">
        <v>898</v>
      </c>
      <c r="B440" s="1" t="s">
        <v>899</v>
      </c>
      <c r="C440" s="2">
        <v>35326.800000000003</v>
      </c>
      <c r="D440" s="1" t="s">
        <v>24</v>
      </c>
      <c r="E440" s="1" t="s">
        <v>39</v>
      </c>
      <c r="F440" s="1" t="s">
        <v>26</v>
      </c>
      <c r="G440" s="1" t="s">
        <v>31</v>
      </c>
      <c r="H440" s="1">
        <v>1147</v>
      </c>
      <c r="I440" s="1">
        <v>3</v>
      </c>
      <c r="J440" s="1">
        <v>3</v>
      </c>
      <c r="K440" s="2">
        <v>28967.71</v>
      </c>
      <c r="L440" s="1">
        <v>0</v>
      </c>
      <c r="M440" s="1">
        <v>0.47199999999999998</v>
      </c>
      <c r="N440" s="1">
        <v>8</v>
      </c>
      <c r="O440" s="3" t="s">
        <v>21</v>
      </c>
    </row>
    <row r="441" spans="1:15" x14ac:dyDescent="0.3">
      <c r="A441" s="1" t="s">
        <v>900</v>
      </c>
      <c r="B441" s="1" t="s">
        <v>901</v>
      </c>
      <c r="C441" s="2">
        <v>4113.37</v>
      </c>
      <c r="D441" s="1" t="s">
        <v>24</v>
      </c>
      <c r="E441" s="1" t="s">
        <v>29</v>
      </c>
      <c r="F441" s="1" t="s">
        <v>26</v>
      </c>
      <c r="G441" s="1" t="s">
        <v>31</v>
      </c>
      <c r="H441" s="1">
        <v>543</v>
      </c>
      <c r="I441" s="1">
        <v>7</v>
      </c>
      <c r="J441" s="1">
        <v>0</v>
      </c>
      <c r="K441" s="2">
        <v>23984.75</v>
      </c>
      <c r="L441" s="1">
        <v>0</v>
      </c>
      <c r="M441" s="1">
        <v>0.89300000000000002</v>
      </c>
      <c r="N441" s="1">
        <v>3</v>
      </c>
      <c r="O441" s="3" t="s">
        <v>21</v>
      </c>
    </row>
    <row r="442" spans="1:15" x14ac:dyDescent="0.3">
      <c r="A442" s="1" t="s">
        <v>902</v>
      </c>
      <c r="B442" s="1" t="s">
        <v>903</v>
      </c>
      <c r="C442" s="2">
        <v>4287.6400000000003</v>
      </c>
      <c r="D442" s="1" t="s">
        <v>17</v>
      </c>
      <c r="E442" s="1" t="s">
        <v>25</v>
      </c>
      <c r="F442" s="1" t="s">
        <v>30</v>
      </c>
      <c r="G442" s="1" t="s">
        <v>46</v>
      </c>
      <c r="H442" s="1">
        <v>1565</v>
      </c>
      <c r="I442" s="1">
        <v>3</v>
      </c>
      <c r="J442" s="1">
        <v>1</v>
      </c>
      <c r="K442" s="2">
        <v>3312.12</v>
      </c>
      <c r="L442" s="1">
        <v>0</v>
      </c>
      <c r="M442" s="1">
        <v>0.59099999999999997</v>
      </c>
      <c r="N442" s="1">
        <v>9</v>
      </c>
      <c r="O442" s="3" t="s">
        <v>21</v>
      </c>
    </row>
    <row r="443" spans="1:15" x14ac:dyDescent="0.3">
      <c r="A443" s="1" t="s">
        <v>904</v>
      </c>
      <c r="B443" s="1" t="s">
        <v>905</v>
      </c>
      <c r="C443" s="2">
        <v>49332.65</v>
      </c>
      <c r="D443" s="1" t="s">
        <v>51</v>
      </c>
      <c r="E443" s="1" t="s">
        <v>29</v>
      </c>
      <c r="F443" s="1" t="s">
        <v>19</v>
      </c>
      <c r="G443" s="1" t="s">
        <v>46</v>
      </c>
      <c r="H443" s="1">
        <v>920</v>
      </c>
      <c r="I443" s="1">
        <v>20</v>
      </c>
      <c r="J443" s="1">
        <v>4</v>
      </c>
      <c r="K443" s="2">
        <v>5139.72</v>
      </c>
      <c r="L443" s="1">
        <v>0</v>
      </c>
      <c r="M443" s="1">
        <v>0.85599999999999998</v>
      </c>
      <c r="N443" s="1">
        <v>7</v>
      </c>
      <c r="O443" s="3" t="s">
        <v>21</v>
      </c>
    </row>
    <row r="444" spans="1:15" x14ac:dyDescent="0.3">
      <c r="A444" s="1" t="s">
        <v>906</v>
      </c>
      <c r="B444" s="1" t="s">
        <v>907</v>
      </c>
      <c r="C444" s="2">
        <v>18744.830000000002</v>
      </c>
      <c r="D444" s="1" t="s">
        <v>51</v>
      </c>
      <c r="E444" s="1" t="s">
        <v>39</v>
      </c>
      <c r="F444" s="1" t="s">
        <v>30</v>
      </c>
      <c r="G444" s="1" t="s">
        <v>31</v>
      </c>
      <c r="H444" s="1">
        <v>1808</v>
      </c>
      <c r="I444" s="1">
        <v>0</v>
      </c>
      <c r="J444" s="1">
        <v>3</v>
      </c>
      <c r="K444" s="2">
        <v>21090.65</v>
      </c>
      <c r="L444" s="1">
        <v>0</v>
      </c>
      <c r="M444" s="1">
        <v>0.95299999999999996</v>
      </c>
      <c r="N444" s="1">
        <v>6</v>
      </c>
      <c r="O444" s="3" t="s">
        <v>21</v>
      </c>
    </row>
    <row r="445" spans="1:15" x14ac:dyDescent="0.3">
      <c r="A445" s="1" t="s">
        <v>908</v>
      </c>
      <c r="B445" s="1" t="s">
        <v>909</v>
      </c>
      <c r="C445" s="2">
        <v>18563.580000000002</v>
      </c>
      <c r="D445" s="1" t="s">
        <v>24</v>
      </c>
      <c r="E445" s="1" t="s">
        <v>18</v>
      </c>
      <c r="F445" s="1" t="s">
        <v>26</v>
      </c>
      <c r="G445" s="1" t="s">
        <v>20</v>
      </c>
      <c r="H445" s="1">
        <v>470</v>
      </c>
      <c r="I445" s="1">
        <v>7</v>
      </c>
      <c r="J445" s="1">
        <v>4</v>
      </c>
      <c r="K445" s="2">
        <v>4879.76</v>
      </c>
      <c r="L445" s="1">
        <v>0</v>
      </c>
      <c r="M445" s="1">
        <v>0.127</v>
      </c>
      <c r="N445" s="1">
        <v>6</v>
      </c>
      <c r="O445" s="4" t="s">
        <v>1936</v>
      </c>
    </row>
    <row r="446" spans="1:15" x14ac:dyDescent="0.3">
      <c r="A446" s="1" t="s">
        <v>910</v>
      </c>
      <c r="B446" s="1" t="s">
        <v>911</v>
      </c>
      <c r="C446" s="2">
        <v>40649.339999999997</v>
      </c>
      <c r="D446" s="1" t="s">
        <v>51</v>
      </c>
      <c r="E446" s="1" t="s">
        <v>25</v>
      </c>
      <c r="F446" s="1" t="s">
        <v>19</v>
      </c>
      <c r="G446" s="1" t="s">
        <v>20</v>
      </c>
      <c r="H446" s="1">
        <v>1643</v>
      </c>
      <c r="I446" s="1">
        <v>6</v>
      </c>
      <c r="J446" s="1">
        <v>4</v>
      </c>
      <c r="K446" s="2">
        <v>28519.01</v>
      </c>
      <c r="L446" s="1">
        <v>0</v>
      </c>
      <c r="M446" s="1">
        <v>0.55500000000000005</v>
      </c>
      <c r="N446" s="1">
        <v>1</v>
      </c>
      <c r="O446" s="3" t="s">
        <v>21</v>
      </c>
    </row>
    <row r="447" spans="1:15" x14ac:dyDescent="0.3">
      <c r="A447" s="1" t="s">
        <v>912</v>
      </c>
      <c r="B447" s="1" t="s">
        <v>913</v>
      </c>
      <c r="C447" s="2">
        <v>47365.07</v>
      </c>
      <c r="D447" s="1" t="s">
        <v>17</v>
      </c>
      <c r="E447" s="1" t="s">
        <v>25</v>
      </c>
      <c r="F447" s="1" t="s">
        <v>26</v>
      </c>
      <c r="G447" s="1" t="s">
        <v>31</v>
      </c>
      <c r="H447" s="1">
        <v>1650</v>
      </c>
      <c r="I447" s="1">
        <v>10</v>
      </c>
      <c r="J447" s="1">
        <v>0</v>
      </c>
      <c r="K447" s="2">
        <v>29789.11</v>
      </c>
      <c r="L447" s="1">
        <v>0</v>
      </c>
      <c r="M447" s="1">
        <v>0.88400000000000001</v>
      </c>
      <c r="N447" s="1">
        <v>8</v>
      </c>
      <c r="O447" s="3" t="s">
        <v>21</v>
      </c>
    </row>
    <row r="448" spans="1:15" x14ac:dyDescent="0.3">
      <c r="A448" s="1" t="s">
        <v>914</v>
      </c>
      <c r="B448" s="1" t="s">
        <v>915</v>
      </c>
      <c r="C448" s="2">
        <v>49300.75</v>
      </c>
      <c r="D448" s="1" t="s">
        <v>17</v>
      </c>
      <c r="E448" s="1" t="s">
        <v>18</v>
      </c>
      <c r="F448" s="1" t="s">
        <v>30</v>
      </c>
      <c r="G448" s="1" t="s">
        <v>20</v>
      </c>
      <c r="H448" s="1">
        <v>295</v>
      </c>
      <c r="I448" s="1">
        <v>20</v>
      </c>
      <c r="J448" s="1">
        <v>1</v>
      </c>
      <c r="K448" s="2">
        <v>23373.29</v>
      </c>
      <c r="L448" s="1">
        <v>0</v>
      </c>
      <c r="M448" s="1">
        <v>0.872</v>
      </c>
      <c r="N448" s="1">
        <v>3</v>
      </c>
      <c r="O448" s="3" t="s">
        <v>21</v>
      </c>
    </row>
    <row r="449" spans="1:15" x14ac:dyDescent="0.3">
      <c r="A449" s="1" t="s">
        <v>916</v>
      </c>
      <c r="B449" s="1" t="s">
        <v>917</v>
      </c>
      <c r="C449" s="2">
        <v>37681.24</v>
      </c>
      <c r="D449" s="1" t="s">
        <v>51</v>
      </c>
      <c r="E449" s="1" t="s">
        <v>25</v>
      </c>
      <c r="F449" s="1" t="s">
        <v>30</v>
      </c>
      <c r="G449" s="1" t="s">
        <v>31</v>
      </c>
      <c r="H449" s="1">
        <v>1038</v>
      </c>
      <c r="I449" s="1">
        <v>15</v>
      </c>
      <c r="J449" s="1">
        <v>2</v>
      </c>
      <c r="K449" s="2">
        <v>901.33</v>
      </c>
      <c r="L449" s="1">
        <v>1</v>
      </c>
      <c r="M449" s="1">
        <v>0.19600000000000001</v>
      </c>
      <c r="N449" s="1">
        <v>3</v>
      </c>
      <c r="O449" s="3" t="s">
        <v>21</v>
      </c>
    </row>
    <row r="450" spans="1:15" x14ac:dyDescent="0.3">
      <c r="A450" s="1" t="s">
        <v>918</v>
      </c>
      <c r="B450" s="1" t="s">
        <v>919</v>
      </c>
      <c r="C450" s="2">
        <v>18844.169999999998</v>
      </c>
      <c r="D450" s="1" t="s">
        <v>24</v>
      </c>
      <c r="E450" s="1" t="s">
        <v>18</v>
      </c>
      <c r="F450" s="1" t="s">
        <v>19</v>
      </c>
      <c r="G450" s="1" t="s">
        <v>46</v>
      </c>
      <c r="H450" s="1">
        <v>138</v>
      </c>
      <c r="I450" s="1">
        <v>21</v>
      </c>
      <c r="J450" s="1">
        <v>0</v>
      </c>
      <c r="K450" s="2">
        <v>14533.53</v>
      </c>
      <c r="L450" s="1">
        <v>0</v>
      </c>
      <c r="M450" s="1">
        <v>0.48099999999999998</v>
      </c>
      <c r="N450" s="1">
        <v>3</v>
      </c>
      <c r="O450" s="3" t="s">
        <v>21</v>
      </c>
    </row>
    <row r="451" spans="1:15" x14ac:dyDescent="0.3">
      <c r="A451" s="1" t="s">
        <v>920</v>
      </c>
      <c r="B451" s="1" t="s">
        <v>921</v>
      </c>
      <c r="C451" s="2">
        <v>4220.8599999999997</v>
      </c>
      <c r="D451" s="1" t="s">
        <v>51</v>
      </c>
      <c r="E451" s="1" t="s">
        <v>39</v>
      </c>
      <c r="F451" s="1" t="s">
        <v>30</v>
      </c>
      <c r="G451" s="1" t="s">
        <v>46</v>
      </c>
      <c r="H451" s="1">
        <v>965</v>
      </c>
      <c r="I451" s="1">
        <v>16</v>
      </c>
      <c r="J451" s="1">
        <v>1</v>
      </c>
      <c r="K451" s="2">
        <v>12241.78</v>
      </c>
      <c r="L451" s="1">
        <v>0</v>
      </c>
      <c r="M451" s="1">
        <v>0.223</v>
      </c>
      <c r="N451" s="1">
        <v>9</v>
      </c>
      <c r="O451" s="3" t="s">
        <v>21</v>
      </c>
    </row>
    <row r="452" spans="1:15" x14ac:dyDescent="0.3">
      <c r="A452" s="1" t="s">
        <v>922</v>
      </c>
      <c r="B452" s="1" t="s">
        <v>923</v>
      </c>
      <c r="C452" s="2">
        <v>38868.49</v>
      </c>
      <c r="D452" s="1" t="s">
        <v>17</v>
      </c>
      <c r="E452" s="1" t="s">
        <v>25</v>
      </c>
      <c r="F452" s="1" t="s">
        <v>26</v>
      </c>
      <c r="G452" s="1" t="s">
        <v>46</v>
      </c>
      <c r="H452" s="1">
        <v>680</v>
      </c>
      <c r="I452" s="1">
        <v>23</v>
      </c>
      <c r="J452" s="1">
        <v>2</v>
      </c>
      <c r="K452" s="2">
        <v>24006.12</v>
      </c>
      <c r="L452" s="1">
        <v>0</v>
      </c>
      <c r="M452" s="1">
        <v>0.89700000000000002</v>
      </c>
      <c r="N452" s="1">
        <v>5</v>
      </c>
      <c r="O452" s="3" t="s">
        <v>21</v>
      </c>
    </row>
    <row r="453" spans="1:15" x14ac:dyDescent="0.3">
      <c r="A453" s="1" t="s">
        <v>924</v>
      </c>
      <c r="B453" s="1" t="s">
        <v>925</v>
      </c>
      <c r="C453" s="2">
        <v>27942.29</v>
      </c>
      <c r="D453" s="1" t="s">
        <v>24</v>
      </c>
      <c r="E453" s="1" t="s">
        <v>25</v>
      </c>
      <c r="F453" s="1" t="s">
        <v>19</v>
      </c>
      <c r="G453" s="1" t="s">
        <v>36</v>
      </c>
      <c r="H453" s="1">
        <v>1796</v>
      </c>
      <c r="I453" s="1">
        <v>4</v>
      </c>
      <c r="J453" s="1">
        <v>2</v>
      </c>
      <c r="K453" s="2">
        <v>8681.5499999999993</v>
      </c>
      <c r="L453" s="1">
        <v>0</v>
      </c>
      <c r="M453" s="1">
        <v>3.0000000000000001E-3</v>
      </c>
      <c r="N453" s="1">
        <v>2</v>
      </c>
      <c r="O453" s="3" t="s">
        <v>21</v>
      </c>
    </row>
    <row r="454" spans="1:15" x14ac:dyDescent="0.3">
      <c r="A454" s="1" t="s">
        <v>926</v>
      </c>
      <c r="B454" s="1" t="s">
        <v>927</v>
      </c>
      <c r="C454" s="2">
        <v>21239.89</v>
      </c>
      <c r="D454" s="1" t="s">
        <v>51</v>
      </c>
      <c r="E454" s="1" t="s">
        <v>18</v>
      </c>
      <c r="F454" s="1" t="s">
        <v>26</v>
      </c>
      <c r="G454" s="1" t="s">
        <v>46</v>
      </c>
      <c r="H454" s="1">
        <v>508</v>
      </c>
      <c r="I454" s="1">
        <v>6</v>
      </c>
      <c r="J454" s="1">
        <v>1</v>
      </c>
      <c r="K454" s="2">
        <v>11645.17</v>
      </c>
      <c r="L454" s="1">
        <v>0</v>
      </c>
      <c r="M454" s="1">
        <v>0.218</v>
      </c>
      <c r="N454" s="1">
        <v>4</v>
      </c>
      <c r="O454" s="3" t="s">
        <v>21</v>
      </c>
    </row>
    <row r="455" spans="1:15" x14ac:dyDescent="0.3">
      <c r="A455" s="1" t="s">
        <v>928</v>
      </c>
      <c r="B455" s="1" t="s">
        <v>929</v>
      </c>
      <c r="C455" s="2">
        <v>45322.400000000001</v>
      </c>
      <c r="D455" s="1" t="s">
        <v>24</v>
      </c>
      <c r="E455" s="1" t="s">
        <v>18</v>
      </c>
      <c r="F455" s="1" t="s">
        <v>19</v>
      </c>
      <c r="G455" s="1" t="s">
        <v>46</v>
      </c>
      <c r="H455" s="1">
        <v>285</v>
      </c>
      <c r="I455" s="1">
        <v>9</v>
      </c>
      <c r="J455" s="1">
        <v>2</v>
      </c>
      <c r="K455" s="2">
        <v>2895.69</v>
      </c>
      <c r="L455" s="1">
        <v>0</v>
      </c>
      <c r="M455" s="1">
        <v>0.40899999999999997</v>
      </c>
      <c r="N455" s="1">
        <v>7</v>
      </c>
      <c r="O455" s="3" t="s">
        <v>21</v>
      </c>
    </row>
    <row r="456" spans="1:15" x14ac:dyDescent="0.3">
      <c r="A456" s="1" t="s">
        <v>930</v>
      </c>
      <c r="B456" s="1" t="s">
        <v>931</v>
      </c>
      <c r="C456" s="2">
        <v>5604.31</v>
      </c>
      <c r="D456" s="1" t="s">
        <v>24</v>
      </c>
      <c r="E456" s="1" t="s">
        <v>39</v>
      </c>
      <c r="F456" s="1" t="s">
        <v>19</v>
      </c>
      <c r="G456" s="1" t="s">
        <v>31</v>
      </c>
      <c r="H456" s="1">
        <v>1116</v>
      </c>
      <c r="I456" s="1">
        <v>12</v>
      </c>
      <c r="J456" s="1">
        <v>3</v>
      </c>
      <c r="K456" s="2">
        <v>10344.82</v>
      </c>
      <c r="L456" s="1">
        <v>0</v>
      </c>
      <c r="M456" s="1">
        <v>0.221</v>
      </c>
      <c r="N456" s="1">
        <v>1</v>
      </c>
      <c r="O456" s="3" t="s">
        <v>21</v>
      </c>
    </row>
    <row r="457" spans="1:15" x14ac:dyDescent="0.3">
      <c r="A457" s="1" t="s">
        <v>932</v>
      </c>
      <c r="B457" s="1" t="s">
        <v>933</v>
      </c>
      <c r="C457" s="2">
        <v>24656.62</v>
      </c>
      <c r="D457" s="1" t="s">
        <v>17</v>
      </c>
      <c r="E457" s="1" t="s">
        <v>18</v>
      </c>
      <c r="F457" s="1" t="s">
        <v>26</v>
      </c>
      <c r="G457" s="1" t="s">
        <v>20</v>
      </c>
      <c r="H457" s="1">
        <v>1865</v>
      </c>
      <c r="I457" s="1">
        <v>19</v>
      </c>
      <c r="J457" s="1">
        <v>3</v>
      </c>
      <c r="K457" s="2">
        <v>29218.23</v>
      </c>
      <c r="L457" s="1">
        <v>0</v>
      </c>
      <c r="M457" s="1">
        <v>0.97399999999999998</v>
      </c>
      <c r="N457" s="1">
        <v>2</v>
      </c>
      <c r="O457" s="3" t="s">
        <v>21</v>
      </c>
    </row>
    <row r="458" spans="1:15" x14ac:dyDescent="0.3">
      <c r="A458" s="1" t="s">
        <v>934</v>
      </c>
      <c r="B458" s="1" t="s">
        <v>935</v>
      </c>
      <c r="C458" s="2">
        <v>617.11</v>
      </c>
      <c r="D458" s="1" t="s">
        <v>24</v>
      </c>
      <c r="E458" s="1" t="s">
        <v>18</v>
      </c>
      <c r="F458" s="1" t="s">
        <v>30</v>
      </c>
      <c r="G458" s="1" t="s">
        <v>20</v>
      </c>
      <c r="H458" s="1">
        <v>1151</v>
      </c>
      <c r="I458" s="1">
        <v>14</v>
      </c>
      <c r="J458" s="1">
        <v>0</v>
      </c>
      <c r="K458" s="2">
        <v>28270.28</v>
      </c>
      <c r="L458" s="1">
        <v>0</v>
      </c>
      <c r="M458" s="1">
        <v>0.24399999999999999</v>
      </c>
      <c r="N458" s="1">
        <v>8</v>
      </c>
      <c r="O458" s="3" t="s">
        <v>21</v>
      </c>
    </row>
    <row r="459" spans="1:15" x14ac:dyDescent="0.3">
      <c r="A459" s="1" t="s">
        <v>936</v>
      </c>
      <c r="B459" s="1" t="s">
        <v>937</v>
      </c>
      <c r="C459" s="2">
        <v>23459.599999999999</v>
      </c>
      <c r="D459" s="1" t="s">
        <v>51</v>
      </c>
      <c r="E459" s="1" t="s">
        <v>39</v>
      </c>
      <c r="F459" s="1" t="s">
        <v>26</v>
      </c>
      <c r="G459" s="1" t="s">
        <v>46</v>
      </c>
      <c r="H459" s="1">
        <v>1993</v>
      </c>
      <c r="I459" s="1">
        <v>5</v>
      </c>
      <c r="J459" s="1">
        <v>2</v>
      </c>
      <c r="K459" s="2">
        <v>22532.75</v>
      </c>
      <c r="L459" s="1">
        <v>0</v>
      </c>
      <c r="M459" s="1">
        <v>0.36199999999999999</v>
      </c>
      <c r="N459" s="1">
        <v>8</v>
      </c>
      <c r="O459" s="3" t="s">
        <v>21</v>
      </c>
    </row>
    <row r="460" spans="1:15" x14ac:dyDescent="0.3">
      <c r="A460" s="1" t="s">
        <v>938</v>
      </c>
      <c r="B460" s="1" t="s">
        <v>939</v>
      </c>
      <c r="C460" s="2">
        <v>2862.35</v>
      </c>
      <c r="D460" s="1" t="s">
        <v>24</v>
      </c>
      <c r="E460" s="1" t="s">
        <v>29</v>
      </c>
      <c r="F460" s="1" t="s">
        <v>30</v>
      </c>
      <c r="G460" s="1" t="s">
        <v>46</v>
      </c>
      <c r="H460" s="1">
        <v>38</v>
      </c>
      <c r="I460" s="1">
        <v>1</v>
      </c>
      <c r="J460" s="1">
        <v>2</v>
      </c>
      <c r="K460" s="2">
        <v>27227.18</v>
      </c>
      <c r="L460" s="1">
        <v>0</v>
      </c>
      <c r="M460" s="1">
        <v>0.17399999999999999</v>
      </c>
      <c r="N460" s="1">
        <v>3</v>
      </c>
      <c r="O460" s="3" t="s">
        <v>21</v>
      </c>
    </row>
    <row r="461" spans="1:15" x14ac:dyDescent="0.3">
      <c r="A461" s="1" t="s">
        <v>940</v>
      </c>
      <c r="B461" s="1" t="s">
        <v>941</v>
      </c>
      <c r="C461" s="2">
        <v>5984.95</v>
      </c>
      <c r="D461" s="1" t="s">
        <v>24</v>
      </c>
      <c r="E461" s="1" t="s">
        <v>29</v>
      </c>
      <c r="F461" s="1" t="s">
        <v>30</v>
      </c>
      <c r="G461" s="1" t="s">
        <v>46</v>
      </c>
      <c r="H461" s="1">
        <v>1014</v>
      </c>
      <c r="I461" s="1">
        <v>3</v>
      </c>
      <c r="J461" s="1">
        <v>1</v>
      </c>
      <c r="K461" s="2">
        <v>6414</v>
      </c>
      <c r="L461" s="1">
        <v>0</v>
      </c>
      <c r="M461" s="1">
        <v>0.92700000000000005</v>
      </c>
      <c r="N461" s="1">
        <v>5</v>
      </c>
      <c r="O461" s="3" t="s">
        <v>21</v>
      </c>
    </row>
    <row r="462" spans="1:15" x14ac:dyDescent="0.3">
      <c r="A462" s="1" t="s">
        <v>942</v>
      </c>
      <c r="B462" s="1" t="s">
        <v>943</v>
      </c>
      <c r="C462" s="2">
        <v>5920.44</v>
      </c>
      <c r="D462" s="1" t="s">
        <v>51</v>
      </c>
      <c r="E462" s="1" t="s">
        <v>18</v>
      </c>
      <c r="F462" s="1" t="s">
        <v>26</v>
      </c>
      <c r="G462" s="1" t="s">
        <v>31</v>
      </c>
      <c r="H462" s="1">
        <v>1391</v>
      </c>
      <c r="I462" s="1">
        <v>20</v>
      </c>
      <c r="J462" s="1">
        <v>3</v>
      </c>
      <c r="K462" s="2">
        <v>18692.77</v>
      </c>
      <c r="L462" s="1">
        <v>0</v>
      </c>
      <c r="M462" s="1">
        <v>0.41099999999999998</v>
      </c>
      <c r="N462" s="1">
        <v>8</v>
      </c>
      <c r="O462" s="3" t="s">
        <v>21</v>
      </c>
    </row>
    <row r="463" spans="1:15" x14ac:dyDescent="0.3">
      <c r="A463" s="1" t="s">
        <v>944</v>
      </c>
      <c r="B463" s="1" t="s">
        <v>945</v>
      </c>
      <c r="C463" s="2">
        <v>32478.05</v>
      </c>
      <c r="D463" s="1" t="s">
        <v>17</v>
      </c>
      <c r="E463" s="1" t="s">
        <v>39</v>
      </c>
      <c r="F463" s="1" t="s">
        <v>19</v>
      </c>
      <c r="G463" s="1" t="s">
        <v>31</v>
      </c>
      <c r="H463" s="1">
        <v>659</v>
      </c>
      <c r="I463" s="1">
        <v>13</v>
      </c>
      <c r="J463" s="1">
        <v>4</v>
      </c>
      <c r="K463" s="2">
        <v>15049.17</v>
      </c>
      <c r="L463" s="1">
        <v>0</v>
      </c>
      <c r="M463" s="1">
        <v>0.26200000000000001</v>
      </c>
      <c r="N463" s="1">
        <v>9</v>
      </c>
      <c r="O463" s="3" t="s">
        <v>21</v>
      </c>
    </row>
    <row r="464" spans="1:15" x14ac:dyDescent="0.3">
      <c r="A464" s="1" t="s">
        <v>946</v>
      </c>
      <c r="B464" s="1" t="s">
        <v>947</v>
      </c>
      <c r="C464" s="2">
        <v>37314.94</v>
      </c>
      <c r="D464" s="1" t="s">
        <v>17</v>
      </c>
      <c r="E464" s="1" t="s">
        <v>29</v>
      </c>
      <c r="F464" s="1" t="s">
        <v>26</v>
      </c>
      <c r="G464" s="1" t="s">
        <v>31</v>
      </c>
      <c r="H464" s="1">
        <v>1190</v>
      </c>
      <c r="I464" s="1">
        <v>23</v>
      </c>
      <c r="J464" s="1">
        <v>0</v>
      </c>
      <c r="K464" s="2">
        <v>12738.43</v>
      </c>
      <c r="L464" s="1">
        <v>0</v>
      </c>
      <c r="M464" s="1">
        <v>0.246</v>
      </c>
      <c r="N464" s="1">
        <v>2</v>
      </c>
      <c r="O464" s="3" t="s">
        <v>21</v>
      </c>
    </row>
    <row r="465" spans="1:15" x14ac:dyDescent="0.3">
      <c r="A465" s="1" t="s">
        <v>948</v>
      </c>
      <c r="B465" s="1" t="s">
        <v>949</v>
      </c>
      <c r="C465" s="2">
        <v>29189.27</v>
      </c>
      <c r="D465" s="1" t="s">
        <v>51</v>
      </c>
      <c r="E465" s="1" t="s">
        <v>39</v>
      </c>
      <c r="F465" s="1" t="s">
        <v>19</v>
      </c>
      <c r="G465" s="1" t="s">
        <v>20</v>
      </c>
      <c r="H465" s="1">
        <v>40</v>
      </c>
      <c r="I465" s="1">
        <v>14</v>
      </c>
      <c r="J465" s="1">
        <v>3</v>
      </c>
      <c r="K465" s="2">
        <v>9812.57</v>
      </c>
      <c r="L465" s="1">
        <v>0</v>
      </c>
      <c r="M465" s="1">
        <v>0.58599999999999997</v>
      </c>
      <c r="N465" s="1">
        <v>8</v>
      </c>
      <c r="O465" s="3" t="s">
        <v>21</v>
      </c>
    </row>
    <row r="466" spans="1:15" x14ac:dyDescent="0.3">
      <c r="A466" s="1" t="s">
        <v>950</v>
      </c>
      <c r="B466" s="1" t="s">
        <v>146</v>
      </c>
      <c r="C466" s="2">
        <v>48110.52</v>
      </c>
      <c r="D466" s="1" t="s">
        <v>51</v>
      </c>
      <c r="E466" s="1" t="s">
        <v>18</v>
      </c>
      <c r="F466" s="1" t="s">
        <v>30</v>
      </c>
      <c r="G466" s="1" t="s">
        <v>36</v>
      </c>
      <c r="H466" s="1">
        <v>852</v>
      </c>
      <c r="I466" s="1">
        <v>13</v>
      </c>
      <c r="J466" s="1">
        <v>1</v>
      </c>
      <c r="K466" s="2">
        <v>26002.959999999999</v>
      </c>
      <c r="L466" s="1">
        <v>1</v>
      </c>
      <c r="M466" s="1">
        <v>0.97799999999999998</v>
      </c>
      <c r="N466" s="1">
        <v>3</v>
      </c>
      <c r="O466" s="3" t="s">
        <v>21</v>
      </c>
    </row>
    <row r="467" spans="1:15" x14ac:dyDescent="0.3">
      <c r="A467" s="1" t="s">
        <v>951</v>
      </c>
      <c r="B467" s="1" t="s">
        <v>952</v>
      </c>
      <c r="C467" s="2">
        <v>18774.79</v>
      </c>
      <c r="D467" s="1" t="s">
        <v>17</v>
      </c>
      <c r="E467" s="1" t="s">
        <v>18</v>
      </c>
      <c r="F467" s="1" t="s">
        <v>19</v>
      </c>
      <c r="G467" s="1" t="s">
        <v>20</v>
      </c>
      <c r="H467" s="1">
        <v>1319</v>
      </c>
      <c r="I467" s="1">
        <v>3</v>
      </c>
      <c r="J467" s="1">
        <v>0</v>
      </c>
      <c r="K467" s="2">
        <v>14586.71</v>
      </c>
      <c r="L467" s="1">
        <v>0</v>
      </c>
      <c r="M467" s="1">
        <v>0.97399999999999998</v>
      </c>
      <c r="N467" s="1">
        <v>9</v>
      </c>
      <c r="O467" s="3" t="s">
        <v>21</v>
      </c>
    </row>
    <row r="468" spans="1:15" x14ac:dyDescent="0.3">
      <c r="A468" s="1" t="s">
        <v>953</v>
      </c>
      <c r="B468" s="1" t="s">
        <v>954</v>
      </c>
      <c r="C468" s="2">
        <v>14321.32</v>
      </c>
      <c r="D468" s="1" t="s">
        <v>24</v>
      </c>
      <c r="E468" s="1" t="s">
        <v>39</v>
      </c>
      <c r="F468" s="1" t="s">
        <v>26</v>
      </c>
      <c r="G468" s="1" t="s">
        <v>31</v>
      </c>
      <c r="H468" s="1">
        <v>1698</v>
      </c>
      <c r="I468" s="1">
        <v>5</v>
      </c>
      <c r="J468" s="1">
        <v>4</v>
      </c>
      <c r="K468" s="2">
        <v>21748.6</v>
      </c>
      <c r="L468" s="1">
        <v>1</v>
      </c>
      <c r="M468" s="1">
        <v>0.98199999999999998</v>
      </c>
      <c r="N468" s="1">
        <v>5</v>
      </c>
      <c r="O468" s="4" t="s">
        <v>1936</v>
      </c>
    </row>
    <row r="469" spans="1:15" x14ac:dyDescent="0.3">
      <c r="A469" s="1" t="s">
        <v>955</v>
      </c>
      <c r="B469" s="1" t="s">
        <v>956</v>
      </c>
      <c r="C469" s="2">
        <v>43436.53</v>
      </c>
      <c r="D469" s="1" t="s">
        <v>51</v>
      </c>
      <c r="E469" s="1" t="s">
        <v>25</v>
      </c>
      <c r="F469" s="1" t="s">
        <v>19</v>
      </c>
      <c r="G469" s="1" t="s">
        <v>56</v>
      </c>
      <c r="H469" s="1">
        <v>345</v>
      </c>
      <c r="I469" s="1">
        <v>6</v>
      </c>
      <c r="J469" s="1">
        <v>0</v>
      </c>
      <c r="K469" s="2">
        <v>21207.91</v>
      </c>
      <c r="L469" s="1">
        <v>0</v>
      </c>
      <c r="M469" s="1">
        <v>0.38700000000000001</v>
      </c>
      <c r="N469" s="1">
        <v>5</v>
      </c>
      <c r="O469" s="3" t="s">
        <v>21</v>
      </c>
    </row>
    <row r="470" spans="1:15" x14ac:dyDescent="0.3">
      <c r="A470" s="1" t="s">
        <v>957</v>
      </c>
      <c r="B470" s="1" t="s">
        <v>958</v>
      </c>
      <c r="C470" s="2">
        <v>11218.61</v>
      </c>
      <c r="D470" s="1" t="s">
        <v>24</v>
      </c>
      <c r="E470" s="1" t="s">
        <v>18</v>
      </c>
      <c r="F470" s="1" t="s">
        <v>30</v>
      </c>
      <c r="G470" s="1" t="s">
        <v>36</v>
      </c>
      <c r="H470" s="1">
        <v>579</v>
      </c>
      <c r="I470" s="1">
        <v>12</v>
      </c>
      <c r="J470" s="1">
        <v>3</v>
      </c>
      <c r="K470" s="2">
        <v>4168.53</v>
      </c>
      <c r="L470" s="1">
        <v>0</v>
      </c>
      <c r="M470" s="1">
        <v>0.91400000000000003</v>
      </c>
      <c r="N470" s="1">
        <v>4</v>
      </c>
      <c r="O470" s="4" t="s">
        <v>1936</v>
      </c>
    </row>
    <row r="471" spans="1:15" x14ac:dyDescent="0.3">
      <c r="A471" s="1" t="s">
        <v>959</v>
      </c>
      <c r="B471" s="1" t="s">
        <v>960</v>
      </c>
      <c r="C471" s="2">
        <v>48162.97</v>
      </c>
      <c r="D471" s="1" t="s">
        <v>51</v>
      </c>
      <c r="E471" s="1" t="s">
        <v>18</v>
      </c>
      <c r="F471" s="1" t="s">
        <v>30</v>
      </c>
      <c r="G471" s="1" t="s">
        <v>46</v>
      </c>
      <c r="H471" s="1">
        <v>322</v>
      </c>
      <c r="I471" s="1">
        <v>16</v>
      </c>
      <c r="J471" s="1">
        <v>4</v>
      </c>
      <c r="K471" s="2">
        <v>1563.18</v>
      </c>
      <c r="L471" s="1">
        <v>0</v>
      </c>
      <c r="M471" s="1">
        <v>0.44400000000000001</v>
      </c>
      <c r="N471" s="1">
        <v>8</v>
      </c>
      <c r="O471" s="3" t="s">
        <v>21</v>
      </c>
    </row>
    <row r="472" spans="1:15" x14ac:dyDescent="0.3">
      <c r="A472" s="1" t="s">
        <v>961</v>
      </c>
      <c r="B472" s="1" t="s">
        <v>962</v>
      </c>
      <c r="C472" s="2">
        <v>657.12</v>
      </c>
      <c r="D472" s="1" t="s">
        <v>17</v>
      </c>
      <c r="E472" s="1" t="s">
        <v>18</v>
      </c>
      <c r="F472" s="1" t="s">
        <v>19</v>
      </c>
      <c r="G472" s="1" t="s">
        <v>20</v>
      </c>
      <c r="H472" s="1">
        <v>608</v>
      </c>
      <c r="I472" s="1">
        <v>16</v>
      </c>
      <c r="J472" s="1">
        <v>1</v>
      </c>
      <c r="K472" s="2">
        <v>25214.9</v>
      </c>
      <c r="L472" s="1">
        <v>0</v>
      </c>
      <c r="M472" s="1">
        <v>0.51100000000000001</v>
      </c>
      <c r="N472" s="1">
        <v>1</v>
      </c>
      <c r="O472" s="3" t="s">
        <v>21</v>
      </c>
    </row>
    <row r="473" spans="1:15" x14ac:dyDescent="0.3">
      <c r="A473" s="1" t="s">
        <v>963</v>
      </c>
      <c r="B473" s="1" t="s">
        <v>964</v>
      </c>
      <c r="C473" s="2">
        <v>48495.45</v>
      </c>
      <c r="D473" s="1" t="s">
        <v>24</v>
      </c>
      <c r="E473" s="1" t="s">
        <v>18</v>
      </c>
      <c r="F473" s="1" t="s">
        <v>30</v>
      </c>
      <c r="G473" s="1" t="s">
        <v>36</v>
      </c>
      <c r="H473" s="1">
        <v>1156</v>
      </c>
      <c r="I473" s="1">
        <v>3</v>
      </c>
      <c r="J473" s="1">
        <v>0</v>
      </c>
      <c r="K473" s="2">
        <v>14760.57</v>
      </c>
      <c r="L473" s="1">
        <v>0</v>
      </c>
      <c r="M473" s="1">
        <v>0.52</v>
      </c>
      <c r="N473" s="1">
        <v>6</v>
      </c>
      <c r="O473" s="3" t="s">
        <v>21</v>
      </c>
    </row>
    <row r="474" spans="1:15" x14ac:dyDescent="0.3">
      <c r="A474" s="1" t="s">
        <v>965</v>
      </c>
      <c r="B474" s="1" t="s">
        <v>966</v>
      </c>
      <c r="C474" s="2">
        <v>2205.84</v>
      </c>
      <c r="D474" s="1" t="s">
        <v>24</v>
      </c>
      <c r="E474" s="1" t="s">
        <v>39</v>
      </c>
      <c r="F474" s="1" t="s">
        <v>30</v>
      </c>
      <c r="G474" s="1" t="s">
        <v>56</v>
      </c>
      <c r="H474" s="1">
        <v>1736</v>
      </c>
      <c r="I474" s="1">
        <v>18</v>
      </c>
      <c r="J474" s="1">
        <v>3</v>
      </c>
      <c r="K474" s="2">
        <v>24321.56</v>
      </c>
      <c r="L474" s="1">
        <v>0</v>
      </c>
      <c r="M474" s="1">
        <v>6.4000000000000001E-2</v>
      </c>
      <c r="N474" s="1">
        <v>7</v>
      </c>
      <c r="O474" s="3" t="s">
        <v>21</v>
      </c>
    </row>
    <row r="475" spans="1:15" x14ac:dyDescent="0.3">
      <c r="A475" s="1" t="s">
        <v>967</v>
      </c>
      <c r="B475" s="1" t="s">
        <v>968</v>
      </c>
      <c r="C475" s="2">
        <v>44562.6</v>
      </c>
      <c r="D475" s="1" t="s">
        <v>51</v>
      </c>
      <c r="E475" s="1" t="s">
        <v>39</v>
      </c>
      <c r="F475" s="1" t="s">
        <v>19</v>
      </c>
      <c r="G475" s="1" t="s">
        <v>36</v>
      </c>
      <c r="H475" s="1">
        <v>874</v>
      </c>
      <c r="I475" s="1">
        <v>19</v>
      </c>
      <c r="J475" s="1">
        <v>1</v>
      </c>
      <c r="K475" s="2">
        <v>8982.25</v>
      </c>
      <c r="L475" s="1">
        <v>0</v>
      </c>
      <c r="M475" s="1">
        <v>0.17699999999999999</v>
      </c>
      <c r="N475" s="1">
        <v>8</v>
      </c>
      <c r="O475" s="3" t="s">
        <v>21</v>
      </c>
    </row>
    <row r="476" spans="1:15" x14ac:dyDescent="0.3">
      <c r="A476" s="1" t="s">
        <v>969</v>
      </c>
      <c r="B476" s="1" t="s">
        <v>970</v>
      </c>
      <c r="C476" s="2">
        <v>26408.67</v>
      </c>
      <c r="D476" s="1" t="s">
        <v>24</v>
      </c>
      <c r="E476" s="1" t="s">
        <v>39</v>
      </c>
      <c r="F476" s="1" t="s">
        <v>30</v>
      </c>
      <c r="G476" s="1" t="s">
        <v>20</v>
      </c>
      <c r="H476" s="1">
        <v>380</v>
      </c>
      <c r="I476" s="1">
        <v>12</v>
      </c>
      <c r="J476" s="1">
        <v>4</v>
      </c>
      <c r="K476" s="2">
        <v>25868.78</v>
      </c>
      <c r="L476" s="1">
        <v>0</v>
      </c>
      <c r="M476" s="1">
        <v>0.88600000000000001</v>
      </c>
      <c r="N476" s="1">
        <v>4</v>
      </c>
      <c r="O476" s="3" t="s">
        <v>21</v>
      </c>
    </row>
    <row r="477" spans="1:15" x14ac:dyDescent="0.3">
      <c r="A477" s="1" t="s">
        <v>971</v>
      </c>
      <c r="B477" s="1" t="s">
        <v>972</v>
      </c>
      <c r="C477" s="2">
        <v>49648.59</v>
      </c>
      <c r="D477" s="1" t="s">
        <v>51</v>
      </c>
      <c r="E477" s="1" t="s">
        <v>39</v>
      </c>
      <c r="F477" s="1" t="s">
        <v>19</v>
      </c>
      <c r="G477" s="1" t="s">
        <v>31</v>
      </c>
      <c r="H477" s="1">
        <v>814</v>
      </c>
      <c r="I477" s="1">
        <v>8</v>
      </c>
      <c r="J477" s="1">
        <v>0</v>
      </c>
      <c r="K477" s="2">
        <v>24941.53</v>
      </c>
      <c r="L477" s="1">
        <v>0</v>
      </c>
      <c r="M477" s="1">
        <v>0.89600000000000002</v>
      </c>
      <c r="N477" s="1">
        <v>9</v>
      </c>
      <c r="O477" s="3" t="s">
        <v>21</v>
      </c>
    </row>
    <row r="478" spans="1:15" x14ac:dyDescent="0.3">
      <c r="A478" s="1" t="s">
        <v>973</v>
      </c>
      <c r="B478" s="1" t="s">
        <v>974</v>
      </c>
      <c r="C478" s="2">
        <v>3736.14</v>
      </c>
      <c r="D478" s="1" t="s">
        <v>17</v>
      </c>
      <c r="E478" s="1" t="s">
        <v>25</v>
      </c>
      <c r="F478" s="1" t="s">
        <v>19</v>
      </c>
      <c r="G478" s="1" t="s">
        <v>46</v>
      </c>
      <c r="H478" s="1">
        <v>323</v>
      </c>
      <c r="I478" s="1">
        <v>1</v>
      </c>
      <c r="J478" s="1">
        <v>2</v>
      </c>
      <c r="K478" s="2">
        <v>11511.98</v>
      </c>
      <c r="L478" s="1">
        <v>0</v>
      </c>
      <c r="M478" s="1">
        <v>0.20200000000000001</v>
      </c>
      <c r="N478" s="1">
        <v>3</v>
      </c>
      <c r="O478" s="3" t="s">
        <v>21</v>
      </c>
    </row>
    <row r="479" spans="1:15" x14ac:dyDescent="0.3">
      <c r="A479" s="1" t="s">
        <v>975</v>
      </c>
      <c r="B479" s="1" t="s">
        <v>976</v>
      </c>
      <c r="C479" s="2">
        <v>27715.02</v>
      </c>
      <c r="D479" s="1" t="s">
        <v>24</v>
      </c>
      <c r="E479" s="1" t="s">
        <v>39</v>
      </c>
      <c r="F479" s="1" t="s">
        <v>30</v>
      </c>
      <c r="G479" s="1" t="s">
        <v>31</v>
      </c>
      <c r="H479" s="1">
        <v>37</v>
      </c>
      <c r="I479" s="1">
        <v>19</v>
      </c>
      <c r="J479" s="1">
        <v>3</v>
      </c>
      <c r="K479" s="2">
        <v>12409.77</v>
      </c>
      <c r="L479" s="1">
        <v>0</v>
      </c>
      <c r="M479" s="1">
        <v>0.30299999999999999</v>
      </c>
      <c r="N479" s="1">
        <v>8</v>
      </c>
      <c r="O479" s="3" t="s">
        <v>21</v>
      </c>
    </row>
    <row r="480" spans="1:15" x14ac:dyDescent="0.3">
      <c r="A480" s="1" t="s">
        <v>977</v>
      </c>
      <c r="B480" s="1" t="s">
        <v>978</v>
      </c>
      <c r="C480" s="2">
        <v>48466.66</v>
      </c>
      <c r="D480" s="1" t="s">
        <v>51</v>
      </c>
      <c r="E480" s="1" t="s">
        <v>39</v>
      </c>
      <c r="F480" s="1" t="s">
        <v>19</v>
      </c>
      <c r="G480" s="1" t="s">
        <v>31</v>
      </c>
      <c r="H480" s="1">
        <v>1188</v>
      </c>
      <c r="I480" s="1">
        <v>22</v>
      </c>
      <c r="J480" s="1">
        <v>3</v>
      </c>
      <c r="K480" s="2">
        <v>10591.68</v>
      </c>
      <c r="L480" s="1">
        <v>0</v>
      </c>
      <c r="M480" s="1">
        <v>0.83</v>
      </c>
      <c r="N480" s="1">
        <v>5</v>
      </c>
      <c r="O480" s="3" t="s">
        <v>21</v>
      </c>
    </row>
    <row r="481" spans="1:15" x14ac:dyDescent="0.3">
      <c r="A481" s="1" t="s">
        <v>979</v>
      </c>
      <c r="B481" s="1" t="s">
        <v>980</v>
      </c>
      <c r="C481" s="2">
        <v>26178.74</v>
      </c>
      <c r="D481" s="1" t="s">
        <v>24</v>
      </c>
      <c r="E481" s="1" t="s">
        <v>18</v>
      </c>
      <c r="F481" s="1" t="s">
        <v>30</v>
      </c>
      <c r="G481" s="1" t="s">
        <v>20</v>
      </c>
      <c r="H481" s="1">
        <v>975</v>
      </c>
      <c r="I481" s="1">
        <v>17</v>
      </c>
      <c r="J481" s="1">
        <v>2</v>
      </c>
      <c r="K481" s="2">
        <v>1141.19</v>
      </c>
      <c r="L481" s="1">
        <v>1</v>
      </c>
      <c r="M481" s="1">
        <v>0.20399999999999999</v>
      </c>
      <c r="N481" s="1">
        <v>5</v>
      </c>
      <c r="O481" s="3" t="s">
        <v>21</v>
      </c>
    </row>
    <row r="482" spans="1:15" x14ac:dyDescent="0.3">
      <c r="A482" s="1" t="s">
        <v>981</v>
      </c>
      <c r="B482" s="1" t="s">
        <v>982</v>
      </c>
      <c r="C482" s="2">
        <v>31488.46</v>
      </c>
      <c r="D482" s="1" t="s">
        <v>51</v>
      </c>
      <c r="E482" s="1" t="s">
        <v>25</v>
      </c>
      <c r="F482" s="1" t="s">
        <v>30</v>
      </c>
      <c r="G482" s="1" t="s">
        <v>31</v>
      </c>
      <c r="H482" s="1">
        <v>1263</v>
      </c>
      <c r="I482" s="1">
        <v>23</v>
      </c>
      <c r="J482" s="1">
        <v>1</v>
      </c>
      <c r="K482" s="2">
        <v>20661.05</v>
      </c>
      <c r="L482" s="1">
        <v>0</v>
      </c>
      <c r="M482" s="1">
        <v>0.88100000000000001</v>
      </c>
      <c r="N482" s="1">
        <v>7</v>
      </c>
      <c r="O482" s="3" t="s">
        <v>21</v>
      </c>
    </row>
    <row r="483" spans="1:15" x14ac:dyDescent="0.3">
      <c r="A483" s="1" t="s">
        <v>983</v>
      </c>
      <c r="B483" s="1" t="s">
        <v>984</v>
      </c>
      <c r="C483" s="2">
        <v>34802.65</v>
      </c>
      <c r="D483" s="1" t="s">
        <v>51</v>
      </c>
      <c r="E483" s="1" t="s">
        <v>18</v>
      </c>
      <c r="F483" s="1" t="s">
        <v>30</v>
      </c>
      <c r="G483" s="1" t="s">
        <v>31</v>
      </c>
      <c r="H483" s="1">
        <v>1582</v>
      </c>
      <c r="I483" s="1">
        <v>19</v>
      </c>
      <c r="J483" s="1">
        <v>3</v>
      </c>
      <c r="K483" s="2">
        <v>8254.7000000000007</v>
      </c>
      <c r="L483" s="1">
        <v>1</v>
      </c>
      <c r="M483" s="1">
        <v>0.82299999999999995</v>
      </c>
      <c r="N483" s="1">
        <v>5</v>
      </c>
      <c r="O483" s="3" t="s">
        <v>21</v>
      </c>
    </row>
    <row r="484" spans="1:15" x14ac:dyDescent="0.3">
      <c r="A484" s="1" t="s">
        <v>985</v>
      </c>
      <c r="B484" s="1" t="s">
        <v>986</v>
      </c>
      <c r="C484" s="2">
        <v>22754.33</v>
      </c>
      <c r="D484" s="1" t="s">
        <v>51</v>
      </c>
      <c r="E484" s="1" t="s">
        <v>25</v>
      </c>
      <c r="F484" s="1" t="s">
        <v>26</v>
      </c>
      <c r="G484" s="1" t="s">
        <v>20</v>
      </c>
      <c r="H484" s="1">
        <v>1039</v>
      </c>
      <c r="I484" s="1">
        <v>16</v>
      </c>
      <c r="J484" s="1">
        <v>1</v>
      </c>
      <c r="K484" s="2">
        <v>26532.01</v>
      </c>
      <c r="L484" s="1">
        <v>0</v>
      </c>
      <c r="M484" s="1">
        <v>0.80800000000000005</v>
      </c>
      <c r="N484" s="1">
        <v>7</v>
      </c>
      <c r="O484" s="3" t="s">
        <v>21</v>
      </c>
    </row>
    <row r="485" spans="1:15" x14ac:dyDescent="0.3">
      <c r="A485" s="1" t="s">
        <v>987</v>
      </c>
      <c r="B485" s="1" t="s">
        <v>988</v>
      </c>
      <c r="C485" s="2">
        <v>31396.53</v>
      </c>
      <c r="D485" s="1" t="s">
        <v>17</v>
      </c>
      <c r="E485" s="1" t="s">
        <v>29</v>
      </c>
      <c r="F485" s="1" t="s">
        <v>30</v>
      </c>
      <c r="G485" s="1" t="s">
        <v>20</v>
      </c>
      <c r="H485" s="1">
        <v>482</v>
      </c>
      <c r="I485" s="1">
        <v>6</v>
      </c>
      <c r="J485" s="1">
        <v>4</v>
      </c>
      <c r="K485" s="2">
        <v>26931.58</v>
      </c>
      <c r="L485" s="1">
        <v>0</v>
      </c>
      <c r="M485" s="1">
        <v>0.89200000000000002</v>
      </c>
      <c r="N485" s="1">
        <v>9</v>
      </c>
      <c r="O485" s="3" t="s">
        <v>21</v>
      </c>
    </row>
    <row r="486" spans="1:15" x14ac:dyDescent="0.3">
      <c r="A486" s="1" t="s">
        <v>989</v>
      </c>
      <c r="B486" s="1" t="s">
        <v>990</v>
      </c>
      <c r="C486" s="2">
        <v>29236.5</v>
      </c>
      <c r="D486" s="1" t="s">
        <v>24</v>
      </c>
      <c r="E486" s="1" t="s">
        <v>25</v>
      </c>
      <c r="F486" s="1" t="s">
        <v>19</v>
      </c>
      <c r="G486" s="1" t="s">
        <v>56</v>
      </c>
      <c r="H486" s="1">
        <v>1351</v>
      </c>
      <c r="I486" s="1">
        <v>16</v>
      </c>
      <c r="J486" s="1">
        <v>2</v>
      </c>
      <c r="K486" s="2">
        <v>21705.119999999999</v>
      </c>
      <c r="L486" s="1">
        <v>0</v>
      </c>
      <c r="M486" s="1">
        <v>0.88700000000000001</v>
      </c>
      <c r="N486" s="1">
        <v>5</v>
      </c>
      <c r="O486" s="3" t="s">
        <v>21</v>
      </c>
    </row>
    <row r="487" spans="1:15" x14ac:dyDescent="0.3">
      <c r="A487" s="1" t="s">
        <v>991</v>
      </c>
      <c r="B487" s="1" t="s">
        <v>992</v>
      </c>
      <c r="C487" s="2">
        <v>45062.84</v>
      </c>
      <c r="D487" s="1" t="s">
        <v>17</v>
      </c>
      <c r="E487" s="1" t="s">
        <v>25</v>
      </c>
      <c r="F487" s="1" t="s">
        <v>19</v>
      </c>
      <c r="G487" s="1" t="s">
        <v>31</v>
      </c>
      <c r="H487" s="1">
        <v>1258</v>
      </c>
      <c r="I487" s="1">
        <v>9</v>
      </c>
      <c r="J487" s="1">
        <v>1</v>
      </c>
      <c r="K487" s="2">
        <v>5528.76</v>
      </c>
      <c r="L487" s="1">
        <v>0</v>
      </c>
      <c r="M487" s="1">
        <v>0.91700000000000004</v>
      </c>
      <c r="N487" s="1">
        <v>2</v>
      </c>
      <c r="O487" s="3" t="s">
        <v>21</v>
      </c>
    </row>
    <row r="488" spans="1:15" x14ac:dyDescent="0.3">
      <c r="A488" s="1" t="s">
        <v>993</v>
      </c>
      <c r="B488" s="1" t="s">
        <v>994</v>
      </c>
      <c r="C488" s="2">
        <v>2320.0500000000002</v>
      </c>
      <c r="D488" s="1" t="s">
        <v>51</v>
      </c>
      <c r="E488" s="1" t="s">
        <v>18</v>
      </c>
      <c r="F488" s="1" t="s">
        <v>19</v>
      </c>
      <c r="G488" s="1" t="s">
        <v>36</v>
      </c>
      <c r="H488" s="1">
        <v>1066</v>
      </c>
      <c r="I488" s="1">
        <v>13</v>
      </c>
      <c r="J488" s="1">
        <v>4</v>
      </c>
      <c r="K488" s="2">
        <v>2769.85</v>
      </c>
      <c r="L488" s="1">
        <v>1</v>
      </c>
      <c r="M488" s="1">
        <v>0.88</v>
      </c>
      <c r="N488" s="1">
        <v>6</v>
      </c>
      <c r="O488" s="3" t="s">
        <v>21</v>
      </c>
    </row>
    <row r="489" spans="1:15" x14ac:dyDescent="0.3">
      <c r="A489" s="1" t="s">
        <v>995</v>
      </c>
      <c r="B489" s="1" t="s">
        <v>996</v>
      </c>
      <c r="C489" s="2">
        <v>14084.11</v>
      </c>
      <c r="D489" s="1" t="s">
        <v>51</v>
      </c>
      <c r="E489" s="1" t="s">
        <v>25</v>
      </c>
      <c r="F489" s="1" t="s">
        <v>26</v>
      </c>
      <c r="G489" s="1" t="s">
        <v>46</v>
      </c>
      <c r="H489" s="1">
        <v>98</v>
      </c>
      <c r="I489" s="1">
        <v>11</v>
      </c>
      <c r="J489" s="1">
        <v>0</v>
      </c>
      <c r="K489" s="2">
        <v>24511.75</v>
      </c>
      <c r="L489" s="1">
        <v>0</v>
      </c>
      <c r="M489" s="1">
        <v>0.60699999999999998</v>
      </c>
      <c r="N489" s="1">
        <v>9</v>
      </c>
      <c r="O489" s="3" t="s">
        <v>21</v>
      </c>
    </row>
    <row r="490" spans="1:15" x14ac:dyDescent="0.3">
      <c r="A490" s="1" t="s">
        <v>997</v>
      </c>
      <c r="B490" s="1" t="s">
        <v>998</v>
      </c>
      <c r="C490" s="2">
        <v>47523.05</v>
      </c>
      <c r="D490" s="1" t="s">
        <v>17</v>
      </c>
      <c r="E490" s="1" t="s">
        <v>25</v>
      </c>
      <c r="F490" s="1" t="s">
        <v>26</v>
      </c>
      <c r="G490" s="1" t="s">
        <v>46</v>
      </c>
      <c r="H490" s="1">
        <v>1367</v>
      </c>
      <c r="I490" s="1">
        <v>11</v>
      </c>
      <c r="J490" s="1">
        <v>3</v>
      </c>
      <c r="K490" s="2">
        <v>26802.68</v>
      </c>
      <c r="L490" s="1">
        <v>0</v>
      </c>
      <c r="M490" s="1">
        <v>0.158</v>
      </c>
      <c r="N490" s="1">
        <v>9</v>
      </c>
      <c r="O490" s="3" t="s">
        <v>21</v>
      </c>
    </row>
    <row r="491" spans="1:15" x14ac:dyDescent="0.3">
      <c r="A491" s="1" t="s">
        <v>999</v>
      </c>
      <c r="B491" s="1" t="s">
        <v>1000</v>
      </c>
      <c r="C491" s="2">
        <v>44518.68</v>
      </c>
      <c r="D491" s="1" t="s">
        <v>17</v>
      </c>
      <c r="E491" s="1" t="s">
        <v>18</v>
      </c>
      <c r="F491" s="1" t="s">
        <v>19</v>
      </c>
      <c r="G491" s="1" t="s">
        <v>20</v>
      </c>
      <c r="H491" s="1">
        <v>49</v>
      </c>
      <c r="I491" s="1">
        <v>16</v>
      </c>
      <c r="J491" s="1">
        <v>2</v>
      </c>
      <c r="K491" s="2">
        <v>10625.97</v>
      </c>
      <c r="L491" s="1">
        <v>1</v>
      </c>
      <c r="M491" s="1">
        <v>0.60899999999999999</v>
      </c>
      <c r="N491" s="1">
        <v>5</v>
      </c>
      <c r="O491" s="3" t="s">
        <v>21</v>
      </c>
    </row>
    <row r="492" spans="1:15" x14ac:dyDescent="0.3">
      <c r="A492" s="1" t="s">
        <v>1001</v>
      </c>
      <c r="B492" s="1" t="s">
        <v>1002</v>
      </c>
      <c r="C492" s="2">
        <v>22810.05</v>
      </c>
      <c r="D492" s="1" t="s">
        <v>24</v>
      </c>
      <c r="E492" s="1" t="s">
        <v>29</v>
      </c>
      <c r="F492" s="1" t="s">
        <v>19</v>
      </c>
      <c r="G492" s="1" t="s">
        <v>20</v>
      </c>
      <c r="H492" s="1">
        <v>690</v>
      </c>
      <c r="I492" s="1">
        <v>18</v>
      </c>
      <c r="J492" s="1">
        <v>0</v>
      </c>
      <c r="K492" s="2">
        <v>10653.38</v>
      </c>
      <c r="L492" s="1">
        <v>0</v>
      </c>
      <c r="M492" s="1">
        <v>0.94199999999999995</v>
      </c>
      <c r="N492" s="1">
        <v>2</v>
      </c>
      <c r="O492" s="3" t="s">
        <v>21</v>
      </c>
    </row>
    <row r="493" spans="1:15" x14ac:dyDescent="0.3">
      <c r="A493" s="1" t="s">
        <v>1003</v>
      </c>
      <c r="B493" s="1" t="s">
        <v>1004</v>
      </c>
      <c r="C493" s="2">
        <v>31025.62</v>
      </c>
      <c r="D493" s="1" t="s">
        <v>51</v>
      </c>
      <c r="E493" s="1" t="s">
        <v>29</v>
      </c>
      <c r="F493" s="1" t="s">
        <v>26</v>
      </c>
      <c r="G493" s="1" t="s">
        <v>56</v>
      </c>
      <c r="H493" s="1">
        <v>384</v>
      </c>
      <c r="I493" s="1">
        <v>22</v>
      </c>
      <c r="J493" s="1">
        <v>0</v>
      </c>
      <c r="K493" s="2">
        <v>11769.25</v>
      </c>
      <c r="L493" s="1">
        <v>1</v>
      </c>
      <c r="M493" s="1">
        <v>0.96799999999999997</v>
      </c>
      <c r="N493" s="1">
        <v>6</v>
      </c>
      <c r="O493" s="3" t="s">
        <v>21</v>
      </c>
    </row>
    <row r="494" spans="1:15" x14ac:dyDescent="0.3">
      <c r="A494" s="1" t="s">
        <v>1005</v>
      </c>
      <c r="B494" s="1" t="s">
        <v>1006</v>
      </c>
      <c r="C494" s="2">
        <v>13905.19</v>
      </c>
      <c r="D494" s="1" t="s">
        <v>17</v>
      </c>
      <c r="E494" s="1" t="s">
        <v>29</v>
      </c>
      <c r="F494" s="1" t="s">
        <v>19</v>
      </c>
      <c r="G494" s="1" t="s">
        <v>31</v>
      </c>
      <c r="H494" s="1">
        <v>1331</v>
      </c>
      <c r="I494" s="1">
        <v>13</v>
      </c>
      <c r="J494" s="1">
        <v>0</v>
      </c>
      <c r="K494" s="2">
        <v>24845.91</v>
      </c>
      <c r="L494" s="1">
        <v>0</v>
      </c>
      <c r="M494" s="1">
        <v>0.72799999999999998</v>
      </c>
      <c r="N494" s="1">
        <v>4</v>
      </c>
      <c r="O494" s="3" t="s">
        <v>21</v>
      </c>
    </row>
    <row r="495" spans="1:15" x14ac:dyDescent="0.3">
      <c r="A495" s="1" t="s">
        <v>1007</v>
      </c>
      <c r="B495" s="1" t="s">
        <v>1008</v>
      </c>
      <c r="C495" s="2">
        <v>9446.65</v>
      </c>
      <c r="D495" s="1" t="s">
        <v>51</v>
      </c>
      <c r="E495" s="1" t="s">
        <v>25</v>
      </c>
      <c r="F495" s="1" t="s">
        <v>30</v>
      </c>
      <c r="G495" s="1" t="s">
        <v>20</v>
      </c>
      <c r="H495" s="1">
        <v>1007</v>
      </c>
      <c r="I495" s="1">
        <v>16</v>
      </c>
      <c r="J495" s="1">
        <v>1</v>
      </c>
      <c r="K495" s="2">
        <v>21241.45</v>
      </c>
      <c r="L495" s="1">
        <v>0</v>
      </c>
      <c r="M495" s="1">
        <v>0.69399999999999995</v>
      </c>
      <c r="N495" s="1">
        <v>4</v>
      </c>
      <c r="O495" s="3" t="s">
        <v>21</v>
      </c>
    </row>
    <row r="496" spans="1:15" x14ac:dyDescent="0.3">
      <c r="A496" s="1" t="s">
        <v>1009</v>
      </c>
      <c r="B496" s="1" t="s">
        <v>1010</v>
      </c>
      <c r="C496" s="2">
        <v>23211.74</v>
      </c>
      <c r="D496" s="1" t="s">
        <v>51</v>
      </c>
      <c r="E496" s="1" t="s">
        <v>18</v>
      </c>
      <c r="F496" s="1" t="s">
        <v>30</v>
      </c>
      <c r="G496" s="1" t="s">
        <v>20</v>
      </c>
      <c r="H496" s="1">
        <v>402</v>
      </c>
      <c r="I496" s="1">
        <v>14</v>
      </c>
      <c r="J496" s="1">
        <v>3</v>
      </c>
      <c r="K496" s="2">
        <v>3747.09</v>
      </c>
      <c r="L496" s="1">
        <v>0</v>
      </c>
      <c r="M496" s="1">
        <v>0.93799999999999994</v>
      </c>
      <c r="N496" s="1">
        <v>3</v>
      </c>
      <c r="O496" s="4" t="s">
        <v>1936</v>
      </c>
    </row>
    <row r="497" spans="1:15" x14ac:dyDescent="0.3">
      <c r="A497" s="1" t="s">
        <v>1011</v>
      </c>
      <c r="B497" s="1" t="s">
        <v>1012</v>
      </c>
      <c r="C497" s="2">
        <v>17699.939999999999</v>
      </c>
      <c r="D497" s="1" t="s">
        <v>24</v>
      </c>
      <c r="E497" s="1" t="s">
        <v>29</v>
      </c>
      <c r="F497" s="1" t="s">
        <v>19</v>
      </c>
      <c r="G497" s="1" t="s">
        <v>46</v>
      </c>
      <c r="H497" s="1">
        <v>1051</v>
      </c>
      <c r="I497" s="1">
        <v>20</v>
      </c>
      <c r="J497" s="1">
        <v>2</v>
      </c>
      <c r="K497" s="2">
        <v>19077.25</v>
      </c>
      <c r="L497" s="1">
        <v>0</v>
      </c>
      <c r="M497" s="1">
        <v>0.29099999999999998</v>
      </c>
      <c r="N497" s="1">
        <v>1</v>
      </c>
      <c r="O497" s="3" t="s">
        <v>21</v>
      </c>
    </row>
    <row r="498" spans="1:15" x14ac:dyDescent="0.3">
      <c r="A498" s="1" t="s">
        <v>1013</v>
      </c>
      <c r="B498" s="1" t="s">
        <v>1014</v>
      </c>
      <c r="C498" s="2">
        <v>29203.62</v>
      </c>
      <c r="D498" s="1" t="s">
        <v>24</v>
      </c>
      <c r="E498" s="1" t="s">
        <v>29</v>
      </c>
      <c r="F498" s="1" t="s">
        <v>30</v>
      </c>
      <c r="G498" s="1" t="s">
        <v>31</v>
      </c>
      <c r="H498" s="1">
        <v>1560</v>
      </c>
      <c r="I498" s="1">
        <v>5</v>
      </c>
      <c r="J498" s="1">
        <v>3</v>
      </c>
      <c r="K498" s="2">
        <v>392.35</v>
      </c>
      <c r="L498" s="1">
        <v>0</v>
      </c>
      <c r="M498" s="1">
        <v>0.151</v>
      </c>
      <c r="N498" s="1">
        <v>9</v>
      </c>
      <c r="O498" s="4" t="s">
        <v>1936</v>
      </c>
    </row>
    <row r="499" spans="1:15" x14ac:dyDescent="0.3">
      <c r="A499" s="1" t="s">
        <v>1015</v>
      </c>
      <c r="B499" s="1" t="s">
        <v>1016</v>
      </c>
      <c r="C499" s="2">
        <v>3932.85</v>
      </c>
      <c r="D499" s="1" t="s">
        <v>24</v>
      </c>
      <c r="E499" s="1" t="s">
        <v>29</v>
      </c>
      <c r="F499" s="1" t="s">
        <v>19</v>
      </c>
      <c r="G499" s="1" t="s">
        <v>56</v>
      </c>
      <c r="H499" s="1">
        <v>141</v>
      </c>
      <c r="I499" s="1">
        <v>18</v>
      </c>
      <c r="J499" s="1">
        <v>3</v>
      </c>
      <c r="K499" s="2">
        <v>21340.55</v>
      </c>
      <c r="L499" s="1">
        <v>0</v>
      </c>
      <c r="M499" s="1">
        <v>0.28999999999999998</v>
      </c>
      <c r="N499" s="1">
        <v>6</v>
      </c>
      <c r="O499" s="3" t="s">
        <v>21</v>
      </c>
    </row>
    <row r="500" spans="1:15" x14ac:dyDescent="0.3">
      <c r="A500" s="1" t="s">
        <v>1017</v>
      </c>
      <c r="B500" s="1" t="s">
        <v>1018</v>
      </c>
      <c r="C500" s="2">
        <v>48721.02</v>
      </c>
      <c r="D500" s="1" t="s">
        <v>17</v>
      </c>
      <c r="E500" s="1" t="s">
        <v>29</v>
      </c>
      <c r="F500" s="1" t="s">
        <v>26</v>
      </c>
      <c r="G500" s="1" t="s">
        <v>20</v>
      </c>
      <c r="H500" s="1">
        <v>299</v>
      </c>
      <c r="I500" s="1">
        <v>21</v>
      </c>
      <c r="J500" s="1">
        <v>3</v>
      </c>
      <c r="K500" s="2">
        <v>22962.51</v>
      </c>
      <c r="L500" s="1">
        <v>0</v>
      </c>
      <c r="M500" s="1">
        <v>0.94899999999999995</v>
      </c>
      <c r="N500" s="1">
        <v>3</v>
      </c>
      <c r="O500" s="3" t="s">
        <v>21</v>
      </c>
    </row>
    <row r="501" spans="1:15" x14ac:dyDescent="0.3">
      <c r="A501" s="1" t="s">
        <v>1019</v>
      </c>
      <c r="B501" s="1" t="s">
        <v>1020</v>
      </c>
      <c r="C501" s="2">
        <v>49311.23</v>
      </c>
      <c r="D501" s="1" t="s">
        <v>51</v>
      </c>
      <c r="E501" s="1" t="s">
        <v>18</v>
      </c>
      <c r="F501" s="1" t="s">
        <v>19</v>
      </c>
      <c r="G501" s="1" t="s">
        <v>20</v>
      </c>
      <c r="H501" s="1">
        <v>1863</v>
      </c>
      <c r="I501" s="1">
        <v>19</v>
      </c>
      <c r="J501" s="1">
        <v>4</v>
      </c>
      <c r="K501" s="2">
        <v>24466.959999999999</v>
      </c>
      <c r="L501" s="1">
        <v>0</v>
      </c>
      <c r="M501" s="1">
        <v>0.21199999999999999</v>
      </c>
      <c r="N501" s="1">
        <v>1</v>
      </c>
      <c r="O501" s="3" t="s">
        <v>21</v>
      </c>
    </row>
    <row r="502" spans="1:15" x14ac:dyDescent="0.3">
      <c r="A502" s="1" t="s">
        <v>1021</v>
      </c>
      <c r="B502" s="1" t="s">
        <v>360</v>
      </c>
      <c r="C502" s="2">
        <v>34923.18</v>
      </c>
      <c r="D502" s="1" t="s">
        <v>17</v>
      </c>
      <c r="E502" s="1" t="s">
        <v>29</v>
      </c>
      <c r="F502" s="1" t="s">
        <v>26</v>
      </c>
      <c r="G502" s="1" t="s">
        <v>20</v>
      </c>
      <c r="H502" s="1">
        <v>815</v>
      </c>
      <c r="I502" s="1">
        <v>5</v>
      </c>
      <c r="J502" s="1">
        <v>4</v>
      </c>
      <c r="K502" s="2">
        <v>18806.71</v>
      </c>
      <c r="L502" s="1">
        <v>0</v>
      </c>
      <c r="M502" s="1">
        <v>0.22500000000000001</v>
      </c>
      <c r="N502" s="1">
        <v>6</v>
      </c>
      <c r="O502" s="3" t="s">
        <v>21</v>
      </c>
    </row>
    <row r="503" spans="1:15" x14ac:dyDescent="0.3">
      <c r="A503" s="1" t="s">
        <v>1022</v>
      </c>
      <c r="B503" s="1" t="s">
        <v>1023</v>
      </c>
      <c r="C503" s="2">
        <v>26828.01</v>
      </c>
      <c r="D503" s="1" t="s">
        <v>17</v>
      </c>
      <c r="E503" s="1" t="s">
        <v>25</v>
      </c>
      <c r="F503" s="1" t="s">
        <v>30</v>
      </c>
      <c r="G503" s="1" t="s">
        <v>46</v>
      </c>
      <c r="H503" s="1">
        <v>218</v>
      </c>
      <c r="I503" s="1">
        <v>5</v>
      </c>
      <c r="J503" s="1">
        <v>4</v>
      </c>
      <c r="K503" s="2">
        <v>5499.58</v>
      </c>
      <c r="L503" s="1">
        <v>0</v>
      </c>
      <c r="M503" s="1">
        <v>0.193</v>
      </c>
      <c r="N503" s="1">
        <v>4</v>
      </c>
      <c r="O503" s="3" t="s">
        <v>21</v>
      </c>
    </row>
    <row r="504" spans="1:15" x14ac:dyDescent="0.3">
      <c r="A504" s="1" t="s">
        <v>1024</v>
      </c>
      <c r="B504" s="1" t="s">
        <v>1025</v>
      </c>
      <c r="C504" s="2">
        <v>15510.9</v>
      </c>
      <c r="D504" s="1" t="s">
        <v>24</v>
      </c>
      <c r="E504" s="1" t="s">
        <v>25</v>
      </c>
      <c r="F504" s="1" t="s">
        <v>30</v>
      </c>
      <c r="G504" s="1" t="s">
        <v>20</v>
      </c>
      <c r="H504" s="1">
        <v>336</v>
      </c>
      <c r="I504" s="1">
        <v>3</v>
      </c>
      <c r="J504" s="1">
        <v>4</v>
      </c>
      <c r="K504" s="2">
        <v>23833.03</v>
      </c>
      <c r="L504" s="1">
        <v>0</v>
      </c>
      <c r="M504" s="1">
        <v>0.48499999999999999</v>
      </c>
      <c r="N504" s="1">
        <v>1</v>
      </c>
      <c r="O504" s="3" t="s">
        <v>21</v>
      </c>
    </row>
    <row r="505" spans="1:15" x14ac:dyDescent="0.3">
      <c r="A505" s="1" t="s">
        <v>1026</v>
      </c>
      <c r="B505" s="1" t="s">
        <v>1027</v>
      </c>
      <c r="C505" s="2">
        <v>40699.06</v>
      </c>
      <c r="D505" s="1" t="s">
        <v>51</v>
      </c>
      <c r="E505" s="1" t="s">
        <v>18</v>
      </c>
      <c r="F505" s="1" t="s">
        <v>30</v>
      </c>
      <c r="G505" s="1" t="s">
        <v>20</v>
      </c>
      <c r="H505" s="1">
        <v>1001</v>
      </c>
      <c r="I505" s="1">
        <v>0</v>
      </c>
      <c r="J505" s="1">
        <v>3</v>
      </c>
      <c r="K505" s="2">
        <v>27003.74</v>
      </c>
      <c r="L505" s="1">
        <v>0</v>
      </c>
      <c r="M505" s="1">
        <v>0.79600000000000004</v>
      </c>
      <c r="N505" s="1">
        <v>4</v>
      </c>
      <c r="O505" s="3" t="s">
        <v>21</v>
      </c>
    </row>
    <row r="506" spans="1:15" x14ac:dyDescent="0.3">
      <c r="A506" s="1" t="s">
        <v>1028</v>
      </c>
      <c r="B506" s="1" t="s">
        <v>1029</v>
      </c>
      <c r="C506" s="2">
        <v>34252.32</v>
      </c>
      <c r="D506" s="1" t="s">
        <v>51</v>
      </c>
      <c r="E506" s="1" t="s">
        <v>39</v>
      </c>
      <c r="F506" s="1" t="s">
        <v>19</v>
      </c>
      <c r="G506" s="1" t="s">
        <v>46</v>
      </c>
      <c r="H506" s="1">
        <v>512</v>
      </c>
      <c r="I506" s="1">
        <v>18</v>
      </c>
      <c r="J506" s="1">
        <v>3</v>
      </c>
      <c r="K506" s="2">
        <v>19050.5</v>
      </c>
      <c r="L506" s="1">
        <v>0</v>
      </c>
      <c r="M506" s="1">
        <v>0.38200000000000001</v>
      </c>
      <c r="N506" s="1">
        <v>2</v>
      </c>
      <c r="O506" s="4" t="s">
        <v>1936</v>
      </c>
    </row>
    <row r="507" spans="1:15" x14ac:dyDescent="0.3">
      <c r="A507" s="1" t="s">
        <v>1030</v>
      </c>
      <c r="B507" s="1" t="s">
        <v>1031</v>
      </c>
      <c r="C507" s="2">
        <v>8172.72</v>
      </c>
      <c r="D507" s="1" t="s">
        <v>24</v>
      </c>
      <c r="E507" s="1" t="s">
        <v>29</v>
      </c>
      <c r="F507" s="1" t="s">
        <v>26</v>
      </c>
      <c r="G507" s="1" t="s">
        <v>20</v>
      </c>
      <c r="H507" s="1">
        <v>288</v>
      </c>
      <c r="I507" s="1">
        <v>10</v>
      </c>
      <c r="J507" s="1">
        <v>2</v>
      </c>
      <c r="K507" s="2">
        <v>8326.02</v>
      </c>
      <c r="L507" s="1">
        <v>0</v>
      </c>
      <c r="M507" s="1">
        <v>0.1</v>
      </c>
      <c r="N507" s="1">
        <v>3</v>
      </c>
      <c r="O507" s="3" t="s">
        <v>21</v>
      </c>
    </row>
    <row r="508" spans="1:15" x14ac:dyDescent="0.3">
      <c r="A508" s="1" t="s">
        <v>1032</v>
      </c>
      <c r="B508" s="1" t="s">
        <v>1033</v>
      </c>
      <c r="C508" s="2">
        <v>45550.81</v>
      </c>
      <c r="D508" s="1" t="s">
        <v>51</v>
      </c>
      <c r="E508" s="1" t="s">
        <v>29</v>
      </c>
      <c r="F508" s="1" t="s">
        <v>26</v>
      </c>
      <c r="G508" s="1" t="s">
        <v>31</v>
      </c>
      <c r="H508" s="1">
        <v>1415</v>
      </c>
      <c r="I508" s="1">
        <v>6</v>
      </c>
      <c r="J508" s="1">
        <v>2</v>
      </c>
      <c r="K508" s="2">
        <v>5462.89</v>
      </c>
      <c r="L508" s="1">
        <v>0</v>
      </c>
      <c r="M508" s="1">
        <v>0.74</v>
      </c>
      <c r="N508" s="1">
        <v>7</v>
      </c>
      <c r="O508" s="3" t="s">
        <v>21</v>
      </c>
    </row>
    <row r="509" spans="1:15" x14ac:dyDescent="0.3">
      <c r="A509" s="1" t="s">
        <v>1034</v>
      </c>
      <c r="B509" s="1" t="s">
        <v>1035</v>
      </c>
      <c r="C509" s="2">
        <v>41135.74</v>
      </c>
      <c r="D509" s="1" t="s">
        <v>24</v>
      </c>
      <c r="E509" s="1" t="s">
        <v>25</v>
      </c>
      <c r="F509" s="1" t="s">
        <v>30</v>
      </c>
      <c r="G509" s="1" t="s">
        <v>31</v>
      </c>
      <c r="H509" s="1">
        <v>797</v>
      </c>
      <c r="I509" s="1">
        <v>1</v>
      </c>
      <c r="J509" s="1">
        <v>2</v>
      </c>
      <c r="K509" s="2">
        <v>7020.74</v>
      </c>
      <c r="L509" s="1">
        <v>0</v>
      </c>
      <c r="M509" s="1">
        <v>0.61</v>
      </c>
      <c r="N509" s="1">
        <v>7</v>
      </c>
      <c r="O509" s="3" t="s">
        <v>21</v>
      </c>
    </row>
    <row r="510" spans="1:15" x14ac:dyDescent="0.3">
      <c r="A510" s="1" t="s">
        <v>1036</v>
      </c>
      <c r="B510" s="1" t="s">
        <v>1037</v>
      </c>
      <c r="C510" s="2">
        <v>47492.51</v>
      </c>
      <c r="D510" s="1" t="s">
        <v>17</v>
      </c>
      <c r="E510" s="1" t="s">
        <v>18</v>
      </c>
      <c r="F510" s="1" t="s">
        <v>30</v>
      </c>
      <c r="G510" s="1" t="s">
        <v>46</v>
      </c>
      <c r="H510" s="1">
        <v>1016</v>
      </c>
      <c r="I510" s="1">
        <v>3</v>
      </c>
      <c r="J510" s="1">
        <v>2</v>
      </c>
      <c r="K510" s="2">
        <v>605.44000000000005</v>
      </c>
      <c r="L510" s="1">
        <v>0</v>
      </c>
      <c r="M510" s="1">
        <v>0.47899999999999998</v>
      </c>
      <c r="N510" s="1">
        <v>5</v>
      </c>
      <c r="O510" s="3" t="s">
        <v>21</v>
      </c>
    </row>
    <row r="511" spans="1:15" x14ac:dyDescent="0.3">
      <c r="A511" s="1" t="s">
        <v>1038</v>
      </c>
      <c r="B511" s="1" t="s">
        <v>1039</v>
      </c>
      <c r="C511" s="2">
        <v>36299.69</v>
      </c>
      <c r="D511" s="1" t="s">
        <v>17</v>
      </c>
      <c r="E511" s="1" t="s">
        <v>39</v>
      </c>
      <c r="F511" s="1" t="s">
        <v>26</v>
      </c>
      <c r="G511" s="1" t="s">
        <v>31</v>
      </c>
      <c r="H511" s="1">
        <v>961</v>
      </c>
      <c r="I511" s="1">
        <v>5</v>
      </c>
      <c r="J511" s="1">
        <v>2</v>
      </c>
      <c r="K511" s="2">
        <v>404.04</v>
      </c>
      <c r="L511" s="1">
        <v>0</v>
      </c>
      <c r="M511" s="1">
        <v>0.96399999999999997</v>
      </c>
      <c r="N511" s="1">
        <v>2</v>
      </c>
      <c r="O511" s="3" t="s">
        <v>21</v>
      </c>
    </row>
    <row r="512" spans="1:15" x14ac:dyDescent="0.3">
      <c r="A512" s="1" t="s">
        <v>1040</v>
      </c>
      <c r="B512" s="1" t="s">
        <v>1041</v>
      </c>
      <c r="C512" s="2">
        <v>30690.09</v>
      </c>
      <c r="D512" s="1" t="s">
        <v>24</v>
      </c>
      <c r="E512" s="1" t="s">
        <v>25</v>
      </c>
      <c r="F512" s="1" t="s">
        <v>19</v>
      </c>
      <c r="G512" s="1" t="s">
        <v>56</v>
      </c>
      <c r="H512" s="1">
        <v>1342</v>
      </c>
      <c r="I512" s="1">
        <v>4</v>
      </c>
      <c r="J512" s="1">
        <v>4</v>
      </c>
      <c r="K512" s="2">
        <v>8981.4500000000007</v>
      </c>
      <c r="L512" s="1">
        <v>0</v>
      </c>
      <c r="M512" s="1">
        <v>0.47</v>
      </c>
      <c r="N512" s="1">
        <v>9</v>
      </c>
      <c r="O512" s="3" t="s">
        <v>21</v>
      </c>
    </row>
    <row r="513" spans="1:15" x14ac:dyDescent="0.3">
      <c r="A513" s="1" t="s">
        <v>1042</v>
      </c>
      <c r="B513" s="1" t="s">
        <v>1043</v>
      </c>
      <c r="C513" s="2">
        <v>20941.240000000002</v>
      </c>
      <c r="D513" s="1" t="s">
        <v>17</v>
      </c>
      <c r="E513" s="1" t="s">
        <v>39</v>
      </c>
      <c r="F513" s="1" t="s">
        <v>30</v>
      </c>
      <c r="G513" s="1" t="s">
        <v>20</v>
      </c>
      <c r="H513" s="1">
        <v>1931</v>
      </c>
      <c r="I513" s="1">
        <v>21</v>
      </c>
      <c r="J513" s="1">
        <v>3</v>
      </c>
      <c r="K513" s="2">
        <v>27696.5</v>
      </c>
      <c r="L513" s="1">
        <v>0</v>
      </c>
      <c r="M513" s="1">
        <v>0.73299999999999998</v>
      </c>
      <c r="N513" s="1">
        <v>9</v>
      </c>
      <c r="O513" s="3" t="s">
        <v>21</v>
      </c>
    </row>
    <row r="514" spans="1:15" x14ac:dyDescent="0.3">
      <c r="A514" s="1" t="s">
        <v>1044</v>
      </c>
      <c r="B514" s="1" t="s">
        <v>1045</v>
      </c>
      <c r="C514" s="2">
        <v>46639.79</v>
      </c>
      <c r="D514" s="1" t="s">
        <v>17</v>
      </c>
      <c r="E514" s="1" t="s">
        <v>18</v>
      </c>
      <c r="F514" s="1" t="s">
        <v>19</v>
      </c>
      <c r="G514" s="1" t="s">
        <v>56</v>
      </c>
      <c r="H514" s="1">
        <v>286</v>
      </c>
      <c r="I514" s="1">
        <v>20</v>
      </c>
      <c r="J514" s="1">
        <v>2</v>
      </c>
      <c r="K514" s="2">
        <v>18677.689999999999</v>
      </c>
      <c r="L514" s="1">
        <v>0</v>
      </c>
      <c r="M514" s="1">
        <v>0.159</v>
      </c>
      <c r="N514" s="1">
        <v>9</v>
      </c>
      <c r="O514" s="3" t="s">
        <v>21</v>
      </c>
    </row>
    <row r="515" spans="1:15" x14ac:dyDescent="0.3">
      <c r="A515" s="1" t="s">
        <v>1046</v>
      </c>
      <c r="B515" s="1" t="s">
        <v>1047</v>
      </c>
      <c r="C515" s="2">
        <v>43309.89</v>
      </c>
      <c r="D515" s="1" t="s">
        <v>24</v>
      </c>
      <c r="E515" s="1" t="s">
        <v>18</v>
      </c>
      <c r="F515" s="1" t="s">
        <v>30</v>
      </c>
      <c r="G515" s="1" t="s">
        <v>31</v>
      </c>
      <c r="H515" s="1">
        <v>1109</v>
      </c>
      <c r="I515" s="1">
        <v>8</v>
      </c>
      <c r="J515" s="1">
        <v>1</v>
      </c>
      <c r="K515" s="2">
        <v>11644.6</v>
      </c>
      <c r="L515" s="1">
        <v>0</v>
      </c>
      <c r="M515" s="1">
        <v>0.41699999999999998</v>
      </c>
      <c r="N515" s="1">
        <v>6</v>
      </c>
      <c r="O515" s="3" t="s">
        <v>21</v>
      </c>
    </row>
    <row r="516" spans="1:15" x14ac:dyDescent="0.3">
      <c r="A516" s="1" t="s">
        <v>1048</v>
      </c>
      <c r="B516" s="1" t="s">
        <v>1049</v>
      </c>
      <c r="C516" s="2">
        <v>2308.67</v>
      </c>
      <c r="D516" s="1" t="s">
        <v>17</v>
      </c>
      <c r="E516" s="1" t="s">
        <v>18</v>
      </c>
      <c r="F516" s="1" t="s">
        <v>30</v>
      </c>
      <c r="G516" s="1" t="s">
        <v>46</v>
      </c>
      <c r="H516" s="1">
        <v>307</v>
      </c>
      <c r="I516" s="1">
        <v>10</v>
      </c>
      <c r="J516" s="1">
        <v>2</v>
      </c>
      <c r="K516" s="2">
        <v>424.34</v>
      </c>
      <c r="L516" s="1">
        <v>0</v>
      </c>
      <c r="M516" s="1">
        <v>0.21199999999999999</v>
      </c>
      <c r="N516" s="1">
        <v>1</v>
      </c>
      <c r="O516" s="3" t="s">
        <v>21</v>
      </c>
    </row>
    <row r="517" spans="1:15" x14ac:dyDescent="0.3">
      <c r="A517" s="1" t="s">
        <v>1050</v>
      </c>
      <c r="B517" s="1" t="s">
        <v>1051</v>
      </c>
      <c r="C517" s="2">
        <v>1367.03</v>
      </c>
      <c r="D517" s="1" t="s">
        <v>51</v>
      </c>
      <c r="E517" s="1" t="s">
        <v>25</v>
      </c>
      <c r="F517" s="1" t="s">
        <v>19</v>
      </c>
      <c r="G517" s="1" t="s">
        <v>46</v>
      </c>
      <c r="H517" s="1">
        <v>1858</v>
      </c>
      <c r="I517" s="1">
        <v>17</v>
      </c>
      <c r="J517" s="1">
        <v>2</v>
      </c>
      <c r="K517" s="2">
        <v>29692.03</v>
      </c>
      <c r="L517" s="1">
        <v>0</v>
      </c>
      <c r="M517" s="1">
        <v>0.34799999999999998</v>
      </c>
      <c r="N517" s="1">
        <v>6</v>
      </c>
      <c r="O517" s="3" t="s">
        <v>21</v>
      </c>
    </row>
    <row r="518" spans="1:15" x14ac:dyDescent="0.3">
      <c r="A518" s="1" t="s">
        <v>1052</v>
      </c>
      <c r="B518" s="1" t="s">
        <v>1053</v>
      </c>
      <c r="C518" s="2">
        <v>18854.349999999999</v>
      </c>
      <c r="D518" s="1" t="s">
        <v>17</v>
      </c>
      <c r="E518" s="1" t="s">
        <v>18</v>
      </c>
      <c r="F518" s="1" t="s">
        <v>19</v>
      </c>
      <c r="G518" s="1" t="s">
        <v>56</v>
      </c>
      <c r="H518" s="1">
        <v>1411</v>
      </c>
      <c r="I518" s="1">
        <v>19</v>
      </c>
      <c r="J518" s="1">
        <v>3</v>
      </c>
      <c r="K518" s="2">
        <v>13729.75</v>
      </c>
      <c r="L518" s="1">
        <v>0</v>
      </c>
      <c r="M518" s="1">
        <v>0.48</v>
      </c>
      <c r="N518" s="1">
        <v>8</v>
      </c>
      <c r="O518" s="3" t="s">
        <v>21</v>
      </c>
    </row>
    <row r="519" spans="1:15" x14ac:dyDescent="0.3">
      <c r="A519" s="1" t="s">
        <v>1054</v>
      </c>
      <c r="B519" s="1" t="s">
        <v>1055</v>
      </c>
      <c r="C519" s="2">
        <v>19075.5</v>
      </c>
      <c r="D519" s="1" t="s">
        <v>51</v>
      </c>
      <c r="E519" s="1" t="s">
        <v>25</v>
      </c>
      <c r="F519" s="1" t="s">
        <v>30</v>
      </c>
      <c r="G519" s="1" t="s">
        <v>46</v>
      </c>
      <c r="H519" s="1">
        <v>1811</v>
      </c>
      <c r="I519" s="1">
        <v>21</v>
      </c>
      <c r="J519" s="1">
        <v>1</v>
      </c>
      <c r="K519" s="2">
        <v>15958.94</v>
      </c>
      <c r="L519" s="1">
        <v>0</v>
      </c>
      <c r="M519" s="1">
        <v>0.67500000000000004</v>
      </c>
      <c r="N519" s="1">
        <v>4</v>
      </c>
      <c r="O519" s="4" t="s">
        <v>1936</v>
      </c>
    </row>
    <row r="520" spans="1:15" x14ac:dyDescent="0.3">
      <c r="A520" s="1" t="s">
        <v>1056</v>
      </c>
      <c r="B520" s="1" t="s">
        <v>1057</v>
      </c>
      <c r="C520" s="2">
        <v>49985.9</v>
      </c>
      <c r="D520" s="1" t="s">
        <v>24</v>
      </c>
      <c r="E520" s="1" t="s">
        <v>18</v>
      </c>
      <c r="F520" s="1" t="s">
        <v>26</v>
      </c>
      <c r="G520" s="1" t="s">
        <v>56</v>
      </c>
      <c r="H520" s="1">
        <v>1480</v>
      </c>
      <c r="I520" s="1">
        <v>6</v>
      </c>
      <c r="J520" s="1">
        <v>1</v>
      </c>
      <c r="K520" s="2">
        <v>3130.59</v>
      </c>
      <c r="L520" s="1">
        <v>1</v>
      </c>
      <c r="M520" s="1">
        <v>0.42499999999999999</v>
      </c>
      <c r="N520" s="1">
        <v>6</v>
      </c>
      <c r="O520" s="4" t="s">
        <v>1936</v>
      </c>
    </row>
    <row r="521" spans="1:15" x14ac:dyDescent="0.3">
      <c r="A521" s="1" t="s">
        <v>1058</v>
      </c>
      <c r="B521" s="1" t="s">
        <v>1059</v>
      </c>
      <c r="C521" s="2">
        <v>29362.71</v>
      </c>
      <c r="D521" s="1" t="s">
        <v>51</v>
      </c>
      <c r="E521" s="1" t="s">
        <v>25</v>
      </c>
      <c r="F521" s="1" t="s">
        <v>19</v>
      </c>
      <c r="G521" s="1" t="s">
        <v>31</v>
      </c>
      <c r="H521" s="1">
        <v>33</v>
      </c>
      <c r="I521" s="1">
        <v>3</v>
      </c>
      <c r="J521" s="1">
        <v>3</v>
      </c>
      <c r="K521" s="2">
        <v>431.1</v>
      </c>
      <c r="L521" s="1">
        <v>0</v>
      </c>
      <c r="M521" s="1">
        <v>0.88500000000000001</v>
      </c>
      <c r="N521" s="1">
        <v>3</v>
      </c>
      <c r="O521" s="4" t="s">
        <v>1936</v>
      </c>
    </row>
    <row r="522" spans="1:15" x14ac:dyDescent="0.3">
      <c r="A522" s="1" t="s">
        <v>1060</v>
      </c>
      <c r="B522" s="1" t="s">
        <v>1061</v>
      </c>
      <c r="C522" s="2">
        <v>5646.34</v>
      </c>
      <c r="D522" s="1" t="s">
        <v>51</v>
      </c>
      <c r="E522" s="1" t="s">
        <v>39</v>
      </c>
      <c r="F522" s="1" t="s">
        <v>30</v>
      </c>
      <c r="G522" s="1" t="s">
        <v>56</v>
      </c>
      <c r="H522" s="1">
        <v>1382</v>
      </c>
      <c r="I522" s="1">
        <v>20</v>
      </c>
      <c r="J522" s="1">
        <v>2</v>
      </c>
      <c r="K522" s="2">
        <v>1900.52</v>
      </c>
      <c r="L522" s="1">
        <v>0</v>
      </c>
      <c r="M522" s="1">
        <v>0.18</v>
      </c>
      <c r="N522" s="1">
        <v>6</v>
      </c>
      <c r="O522" s="4" t="s">
        <v>1936</v>
      </c>
    </row>
    <row r="523" spans="1:15" x14ac:dyDescent="0.3">
      <c r="A523" s="1" t="s">
        <v>1062</v>
      </c>
      <c r="B523" s="1" t="s">
        <v>1063</v>
      </c>
      <c r="C523" s="2">
        <v>48475.05</v>
      </c>
      <c r="D523" s="1" t="s">
        <v>17</v>
      </c>
      <c r="E523" s="1" t="s">
        <v>18</v>
      </c>
      <c r="F523" s="1" t="s">
        <v>26</v>
      </c>
      <c r="G523" s="1" t="s">
        <v>31</v>
      </c>
      <c r="H523" s="1">
        <v>964</v>
      </c>
      <c r="I523" s="1">
        <v>17</v>
      </c>
      <c r="J523" s="1">
        <v>1</v>
      </c>
      <c r="K523" s="2">
        <v>1663.43</v>
      </c>
      <c r="L523" s="1">
        <v>0</v>
      </c>
      <c r="M523" s="1">
        <v>4.0000000000000001E-3</v>
      </c>
      <c r="N523" s="1">
        <v>9</v>
      </c>
      <c r="O523" s="4" t="s">
        <v>1936</v>
      </c>
    </row>
    <row r="524" spans="1:15" x14ac:dyDescent="0.3">
      <c r="A524" s="1" t="s">
        <v>1064</v>
      </c>
      <c r="B524" s="1" t="s">
        <v>1065</v>
      </c>
      <c r="C524" s="2">
        <v>16217.78</v>
      </c>
      <c r="D524" s="1" t="s">
        <v>51</v>
      </c>
      <c r="E524" s="1" t="s">
        <v>18</v>
      </c>
      <c r="F524" s="1" t="s">
        <v>26</v>
      </c>
      <c r="G524" s="1" t="s">
        <v>20</v>
      </c>
      <c r="H524" s="1">
        <v>162</v>
      </c>
      <c r="I524" s="1">
        <v>23</v>
      </c>
      <c r="J524" s="1">
        <v>1</v>
      </c>
      <c r="K524" s="2">
        <v>20878.28</v>
      </c>
      <c r="L524" s="1">
        <v>0</v>
      </c>
      <c r="M524" s="1">
        <v>0.41599999999999998</v>
      </c>
      <c r="N524" s="1">
        <v>5</v>
      </c>
      <c r="O524" s="4" t="s">
        <v>1936</v>
      </c>
    </row>
    <row r="525" spans="1:15" x14ac:dyDescent="0.3">
      <c r="A525" s="1" t="s">
        <v>1066</v>
      </c>
      <c r="B525" s="1" t="s">
        <v>1067</v>
      </c>
      <c r="C525" s="2">
        <v>6764.01</v>
      </c>
      <c r="D525" s="1" t="s">
        <v>17</v>
      </c>
      <c r="E525" s="1" t="s">
        <v>29</v>
      </c>
      <c r="F525" s="1" t="s">
        <v>30</v>
      </c>
      <c r="G525" s="1" t="s">
        <v>31</v>
      </c>
      <c r="H525" s="1">
        <v>348</v>
      </c>
      <c r="I525" s="1">
        <v>13</v>
      </c>
      <c r="J525" s="1">
        <v>3</v>
      </c>
      <c r="K525" s="2">
        <v>6550.99</v>
      </c>
      <c r="L525" s="1">
        <v>0</v>
      </c>
      <c r="M525" s="1">
        <v>0.76700000000000002</v>
      </c>
      <c r="N525" s="1">
        <v>5</v>
      </c>
      <c r="O525" s="4" t="s">
        <v>1936</v>
      </c>
    </row>
    <row r="526" spans="1:15" x14ac:dyDescent="0.3">
      <c r="A526" s="1" t="s">
        <v>1068</v>
      </c>
      <c r="B526" s="1" t="s">
        <v>1069</v>
      </c>
      <c r="C526" s="2">
        <v>34091.06</v>
      </c>
      <c r="D526" s="1" t="s">
        <v>51</v>
      </c>
      <c r="E526" s="1" t="s">
        <v>18</v>
      </c>
      <c r="F526" s="1" t="s">
        <v>19</v>
      </c>
      <c r="G526" s="1" t="s">
        <v>31</v>
      </c>
      <c r="H526" s="1">
        <v>1573</v>
      </c>
      <c r="I526" s="1">
        <v>2</v>
      </c>
      <c r="J526" s="1">
        <v>3</v>
      </c>
      <c r="K526" s="2">
        <v>4069.07</v>
      </c>
      <c r="L526" s="1">
        <v>0</v>
      </c>
      <c r="M526" s="1">
        <v>0.56699999999999995</v>
      </c>
      <c r="N526" s="1">
        <v>5</v>
      </c>
      <c r="O526" s="4" t="s">
        <v>1936</v>
      </c>
    </row>
    <row r="527" spans="1:15" x14ac:dyDescent="0.3">
      <c r="A527" s="1" t="s">
        <v>1070</v>
      </c>
      <c r="B527" s="1" t="s">
        <v>1071</v>
      </c>
      <c r="C527" s="2">
        <v>38023.379999999997</v>
      </c>
      <c r="D527" s="1" t="s">
        <v>17</v>
      </c>
      <c r="E527" s="1" t="s">
        <v>25</v>
      </c>
      <c r="F527" s="1" t="s">
        <v>19</v>
      </c>
      <c r="G527" s="1" t="s">
        <v>56</v>
      </c>
      <c r="H527" s="1">
        <v>758</v>
      </c>
      <c r="I527" s="1">
        <v>12</v>
      </c>
      <c r="J527" s="1">
        <v>2</v>
      </c>
      <c r="K527" s="2">
        <v>9077.35</v>
      </c>
      <c r="L527" s="1">
        <v>0</v>
      </c>
      <c r="M527" s="1">
        <v>0.51700000000000002</v>
      </c>
      <c r="N527" s="1">
        <v>9</v>
      </c>
      <c r="O527" s="4" t="s">
        <v>1936</v>
      </c>
    </row>
    <row r="528" spans="1:15" x14ac:dyDescent="0.3">
      <c r="A528" s="1" t="s">
        <v>1072</v>
      </c>
      <c r="B528" s="1" t="s">
        <v>1073</v>
      </c>
      <c r="C528" s="2">
        <v>6258.65</v>
      </c>
      <c r="D528" s="1" t="s">
        <v>51</v>
      </c>
      <c r="E528" s="1" t="s">
        <v>18</v>
      </c>
      <c r="F528" s="1" t="s">
        <v>30</v>
      </c>
      <c r="G528" s="1" t="s">
        <v>56</v>
      </c>
      <c r="H528" s="1">
        <v>1235</v>
      </c>
      <c r="I528" s="1">
        <v>14</v>
      </c>
      <c r="J528" s="1">
        <v>1</v>
      </c>
      <c r="K528" s="2">
        <v>20019.21</v>
      </c>
      <c r="L528" s="1">
        <v>0</v>
      </c>
      <c r="M528" s="1">
        <v>8.8999999999999996E-2</v>
      </c>
      <c r="N528" s="1">
        <v>7</v>
      </c>
      <c r="O528" s="4" t="s">
        <v>1936</v>
      </c>
    </row>
    <row r="529" spans="1:15" x14ac:dyDescent="0.3">
      <c r="A529" s="1" t="s">
        <v>1074</v>
      </c>
      <c r="B529" s="1" t="s">
        <v>1075</v>
      </c>
      <c r="C529" s="2">
        <v>36556.83</v>
      </c>
      <c r="D529" s="1" t="s">
        <v>24</v>
      </c>
      <c r="E529" s="1" t="s">
        <v>25</v>
      </c>
      <c r="F529" s="1" t="s">
        <v>26</v>
      </c>
      <c r="G529" s="1" t="s">
        <v>56</v>
      </c>
      <c r="H529" s="1">
        <v>1073</v>
      </c>
      <c r="I529" s="1">
        <v>3</v>
      </c>
      <c r="J529" s="1">
        <v>2</v>
      </c>
      <c r="K529" s="2">
        <v>25674.97</v>
      </c>
      <c r="L529" s="1">
        <v>0</v>
      </c>
      <c r="M529" s="1">
        <v>0.93899999999999995</v>
      </c>
      <c r="N529" s="1">
        <v>9</v>
      </c>
      <c r="O529" s="4" t="s">
        <v>1936</v>
      </c>
    </row>
    <row r="530" spans="1:15" x14ac:dyDescent="0.3">
      <c r="A530" s="1" t="s">
        <v>1076</v>
      </c>
      <c r="B530" s="1" t="s">
        <v>1077</v>
      </c>
      <c r="C530" s="2">
        <v>23160.86</v>
      </c>
      <c r="D530" s="1" t="s">
        <v>24</v>
      </c>
      <c r="E530" s="1" t="s">
        <v>25</v>
      </c>
      <c r="F530" s="1" t="s">
        <v>26</v>
      </c>
      <c r="G530" s="1" t="s">
        <v>36</v>
      </c>
      <c r="H530" s="1">
        <v>1321</v>
      </c>
      <c r="I530" s="1">
        <v>7</v>
      </c>
      <c r="J530" s="1">
        <v>2</v>
      </c>
      <c r="K530" s="2">
        <v>22375.07</v>
      </c>
      <c r="L530" s="1">
        <v>0</v>
      </c>
      <c r="M530" s="1">
        <v>0.52</v>
      </c>
      <c r="N530" s="1">
        <v>7</v>
      </c>
      <c r="O530" s="4" t="s">
        <v>1936</v>
      </c>
    </row>
    <row r="531" spans="1:15" x14ac:dyDescent="0.3">
      <c r="A531" s="1" t="s">
        <v>1078</v>
      </c>
      <c r="B531" s="1" t="s">
        <v>1079</v>
      </c>
      <c r="C531" s="2">
        <v>15620.52</v>
      </c>
      <c r="D531" s="1" t="s">
        <v>17</v>
      </c>
      <c r="E531" s="1" t="s">
        <v>39</v>
      </c>
      <c r="F531" s="1" t="s">
        <v>19</v>
      </c>
      <c r="G531" s="1" t="s">
        <v>31</v>
      </c>
      <c r="H531" s="1">
        <v>1608</v>
      </c>
      <c r="I531" s="1">
        <v>1</v>
      </c>
      <c r="J531" s="1">
        <v>0</v>
      </c>
      <c r="K531" s="2">
        <v>25687.3</v>
      </c>
      <c r="L531" s="1">
        <v>0</v>
      </c>
      <c r="M531" s="1">
        <v>0.26100000000000001</v>
      </c>
      <c r="N531" s="1">
        <v>3</v>
      </c>
      <c r="O531" s="4" t="s">
        <v>1936</v>
      </c>
    </row>
    <row r="532" spans="1:15" x14ac:dyDescent="0.3">
      <c r="A532" s="1" t="s">
        <v>1080</v>
      </c>
      <c r="B532" s="1" t="s">
        <v>1081</v>
      </c>
      <c r="C532" s="2">
        <v>7709.9</v>
      </c>
      <c r="D532" s="1" t="s">
        <v>51</v>
      </c>
      <c r="E532" s="1" t="s">
        <v>18</v>
      </c>
      <c r="F532" s="1" t="s">
        <v>26</v>
      </c>
      <c r="G532" s="1" t="s">
        <v>20</v>
      </c>
      <c r="H532" s="1">
        <v>1624</v>
      </c>
      <c r="I532" s="1">
        <v>22</v>
      </c>
      <c r="J532" s="1">
        <v>4</v>
      </c>
      <c r="K532" s="2">
        <v>6632.71</v>
      </c>
      <c r="L532" s="1">
        <v>0</v>
      </c>
      <c r="M532" s="1">
        <v>2.8000000000000001E-2</v>
      </c>
      <c r="N532" s="1">
        <v>6</v>
      </c>
      <c r="O532" s="4" t="s">
        <v>1936</v>
      </c>
    </row>
    <row r="533" spans="1:15" x14ac:dyDescent="0.3">
      <c r="A533" s="1" t="s">
        <v>1082</v>
      </c>
      <c r="B533" s="1" t="s">
        <v>1083</v>
      </c>
      <c r="C533" s="2">
        <v>36835.39</v>
      </c>
      <c r="D533" s="1" t="s">
        <v>17</v>
      </c>
      <c r="E533" s="1" t="s">
        <v>18</v>
      </c>
      <c r="F533" s="1" t="s">
        <v>30</v>
      </c>
      <c r="G533" s="1" t="s">
        <v>46</v>
      </c>
      <c r="H533" s="1">
        <v>631</v>
      </c>
      <c r="I533" s="1">
        <v>16</v>
      </c>
      <c r="J533" s="1">
        <v>0</v>
      </c>
      <c r="K533" s="2">
        <v>14608.57</v>
      </c>
      <c r="L533" s="1">
        <v>0</v>
      </c>
      <c r="M533" s="1">
        <v>0.43</v>
      </c>
      <c r="N533" s="1">
        <v>2</v>
      </c>
      <c r="O533" s="4" t="s">
        <v>1936</v>
      </c>
    </row>
    <row r="534" spans="1:15" x14ac:dyDescent="0.3">
      <c r="A534" s="1" t="s">
        <v>1084</v>
      </c>
      <c r="B534" s="1" t="s">
        <v>1085</v>
      </c>
      <c r="C534" s="2">
        <v>49242.82</v>
      </c>
      <c r="D534" s="1" t="s">
        <v>24</v>
      </c>
      <c r="E534" s="1" t="s">
        <v>39</v>
      </c>
      <c r="F534" s="1" t="s">
        <v>19</v>
      </c>
      <c r="G534" s="1" t="s">
        <v>36</v>
      </c>
      <c r="H534" s="1">
        <v>853</v>
      </c>
      <c r="I534" s="1">
        <v>20</v>
      </c>
      <c r="J534" s="1">
        <v>4</v>
      </c>
      <c r="K534" s="2">
        <v>2849.29</v>
      </c>
      <c r="L534" s="1">
        <v>0</v>
      </c>
      <c r="M534" s="1">
        <v>0.40200000000000002</v>
      </c>
      <c r="N534" s="1">
        <v>2</v>
      </c>
      <c r="O534" s="4" t="s">
        <v>1936</v>
      </c>
    </row>
    <row r="535" spans="1:15" x14ac:dyDescent="0.3">
      <c r="A535" s="1" t="s">
        <v>1086</v>
      </c>
      <c r="B535" s="1" t="s">
        <v>1087</v>
      </c>
      <c r="C535" s="2">
        <v>11269.01</v>
      </c>
      <c r="D535" s="1" t="s">
        <v>51</v>
      </c>
      <c r="E535" s="1" t="s">
        <v>18</v>
      </c>
      <c r="F535" s="1" t="s">
        <v>19</v>
      </c>
      <c r="G535" s="1" t="s">
        <v>56</v>
      </c>
      <c r="H535" s="1">
        <v>1060</v>
      </c>
      <c r="I535" s="1">
        <v>22</v>
      </c>
      <c r="J535" s="1">
        <v>1</v>
      </c>
      <c r="K535" s="2">
        <v>20666.240000000002</v>
      </c>
      <c r="L535" s="1">
        <v>0</v>
      </c>
      <c r="M535" s="1">
        <v>0.17199999999999999</v>
      </c>
      <c r="N535" s="1">
        <v>7</v>
      </c>
      <c r="O535" s="4" t="s">
        <v>1936</v>
      </c>
    </row>
    <row r="536" spans="1:15" x14ac:dyDescent="0.3">
      <c r="A536" s="1" t="s">
        <v>1088</v>
      </c>
      <c r="B536" s="1" t="s">
        <v>1089</v>
      </c>
      <c r="C536" s="2">
        <v>48055.46</v>
      </c>
      <c r="D536" s="1" t="s">
        <v>51</v>
      </c>
      <c r="E536" s="1" t="s">
        <v>25</v>
      </c>
      <c r="F536" s="1" t="s">
        <v>19</v>
      </c>
      <c r="G536" s="1" t="s">
        <v>56</v>
      </c>
      <c r="H536" s="1">
        <v>1843</v>
      </c>
      <c r="I536" s="1">
        <v>0</v>
      </c>
      <c r="J536" s="1">
        <v>4</v>
      </c>
      <c r="K536" s="2">
        <v>8378.9599999999991</v>
      </c>
      <c r="L536" s="1">
        <v>0</v>
      </c>
      <c r="M536" s="1">
        <v>9.5000000000000001E-2</v>
      </c>
      <c r="N536" s="1">
        <v>9</v>
      </c>
      <c r="O536" s="4" t="s">
        <v>1936</v>
      </c>
    </row>
    <row r="537" spans="1:15" x14ac:dyDescent="0.3">
      <c r="A537" s="1" t="s">
        <v>1090</v>
      </c>
      <c r="B537" s="1" t="s">
        <v>1091</v>
      </c>
      <c r="C537" s="2">
        <v>49843.87</v>
      </c>
      <c r="D537" s="1" t="s">
        <v>17</v>
      </c>
      <c r="E537" s="1" t="s">
        <v>29</v>
      </c>
      <c r="F537" s="1" t="s">
        <v>30</v>
      </c>
      <c r="G537" s="1" t="s">
        <v>31</v>
      </c>
      <c r="H537" s="1">
        <v>1577</v>
      </c>
      <c r="I537" s="1">
        <v>19</v>
      </c>
      <c r="J537" s="1">
        <v>3</v>
      </c>
      <c r="K537" s="2">
        <v>19610.61</v>
      </c>
      <c r="L537" s="1">
        <v>0</v>
      </c>
      <c r="M537" s="1">
        <v>4.3999999999999997E-2</v>
      </c>
      <c r="N537" s="1">
        <v>9</v>
      </c>
      <c r="O537" s="4" t="s">
        <v>1936</v>
      </c>
    </row>
    <row r="538" spans="1:15" x14ac:dyDescent="0.3">
      <c r="A538" s="1" t="s">
        <v>1092</v>
      </c>
      <c r="B538" s="1" t="s">
        <v>1093</v>
      </c>
      <c r="C538" s="2">
        <v>28263.81</v>
      </c>
      <c r="D538" s="1" t="s">
        <v>51</v>
      </c>
      <c r="E538" s="1" t="s">
        <v>18</v>
      </c>
      <c r="F538" s="1" t="s">
        <v>26</v>
      </c>
      <c r="G538" s="1" t="s">
        <v>46</v>
      </c>
      <c r="H538" s="1">
        <v>380</v>
      </c>
      <c r="I538" s="1">
        <v>12</v>
      </c>
      <c r="J538" s="1">
        <v>3</v>
      </c>
      <c r="K538" s="2">
        <v>28903.69</v>
      </c>
      <c r="L538" s="1">
        <v>0</v>
      </c>
      <c r="M538" s="1">
        <v>0.32800000000000001</v>
      </c>
      <c r="N538" s="1">
        <v>4</v>
      </c>
      <c r="O538" s="4" t="s">
        <v>1936</v>
      </c>
    </row>
    <row r="539" spans="1:15" x14ac:dyDescent="0.3">
      <c r="A539" s="1" t="s">
        <v>1094</v>
      </c>
      <c r="B539" s="1" t="s">
        <v>1095</v>
      </c>
      <c r="C539" s="2">
        <v>35812.81</v>
      </c>
      <c r="D539" s="1" t="s">
        <v>51</v>
      </c>
      <c r="E539" s="1" t="s">
        <v>25</v>
      </c>
      <c r="F539" s="1" t="s">
        <v>30</v>
      </c>
      <c r="G539" s="1" t="s">
        <v>46</v>
      </c>
      <c r="H539" s="1">
        <v>1376</v>
      </c>
      <c r="I539" s="1">
        <v>4</v>
      </c>
      <c r="J539" s="1">
        <v>3</v>
      </c>
      <c r="K539" s="2">
        <v>22761.19</v>
      </c>
      <c r="L539" s="1">
        <v>0</v>
      </c>
      <c r="M539" s="1">
        <v>0.33500000000000002</v>
      </c>
      <c r="N539" s="1">
        <v>5</v>
      </c>
      <c r="O539" s="4" t="s">
        <v>1936</v>
      </c>
    </row>
    <row r="540" spans="1:15" x14ac:dyDescent="0.3">
      <c r="A540" s="1" t="s">
        <v>1096</v>
      </c>
      <c r="B540" s="1" t="s">
        <v>1097</v>
      </c>
      <c r="C540" s="2">
        <v>33611.040000000001</v>
      </c>
      <c r="D540" s="1" t="s">
        <v>24</v>
      </c>
      <c r="E540" s="1" t="s">
        <v>18</v>
      </c>
      <c r="F540" s="1" t="s">
        <v>19</v>
      </c>
      <c r="G540" s="1" t="s">
        <v>46</v>
      </c>
      <c r="H540" s="1">
        <v>1074</v>
      </c>
      <c r="I540" s="1">
        <v>23</v>
      </c>
      <c r="J540" s="1">
        <v>2</v>
      </c>
      <c r="K540" s="2">
        <v>14431.08</v>
      </c>
      <c r="L540" s="1">
        <v>0</v>
      </c>
      <c r="M540" s="1">
        <v>0.48099999999999998</v>
      </c>
      <c r="N540" s="1">
        <v>2</v>
      </c>
      <c r="O540" s="4" t="s">
        <v>1936</v>
      </c>
    </row>
    <row r="541" spans="1:15" x14ac:dyDescent="0.3">
      <c r="A541" s="1" t="s">
        <v>1098</v>
      </c>
      <c r="B541" s="1" t="s">
        <v>1099</v>
      </c>
      <c r="C541" s="2">
        <v>8625.3799999999992</v>
      </c>
      <c r="D541" s="1" t="s">
        <v>51</v>
      </c>
      <c r="E541" s="1" t="s">
        <v>18</v>
      </c>
      <c r="F541" s="1" t="s">
        <v>26</v>
      </c>
      <c r="G541" s="1" t="s">
        <v>20</v>
      </c>
      <c r="H541" s="1">
        <v>1877</v>
      </c>
      <c r="I541" s="1">
        <v>8</v>
      </c>
      <c r="J541" s="1">
        <v>4</v>
      </c>
      <c r="K541" s="2">
        <v>10909.42</v>
      </c>
      <c r="L541" s="1">
        <v>0</v>
      </c>
      <c r="M541" s="1">
        <v>0.77600000000000002</v>
      </c>
      <c r="N541" s="1">
        <v>3</v>
      </c>
      <c r="O541" s="4" t="s">
        <v>1936</v>
      </c>
    </row>
    <row r="542" spans="1:15" x14ac:dyDescent="0.3">
      <c r="A542" s="1" t="s">
        <v>1100</v>
      </c>
      <c r="B542" s="1" t="s">
        <v>1101</v>
      </c>
      <c r="C542" s="2">
        <v>8809.7999999999993</v>
      </c>
      <c r="D542" s="1" t="s">
        <v>24</v>
      </c>
      <c r="E542" s="1" t="s">
        <v>39</v>
      </c>
      <c r="F542" s="1" t="s">
        <v>19</v>
      </c>
      <c r="G542" s="1" t="s">
        <v>56</v>
      </c>
      <c r="H542" s="1">
        <v>1563</v>
      </c>
      <c r="I542" s="1">
        <v>20</v>
      </c>
      <c r="J542" s="1">
        <v>1</v>
      </c>
      <c r="K542" s="2">
        <v>25128.13</v>
      </c>
      <c r="L542" s="1">
        <v>0</v>
      </c>
      <c r="M542" s="1">
        <v>0.97799999999999998</v>
      </c>
      <c r="N542" s="1">
        <v>7</v>
      </c>
      <c r="O542" s="4" t="s">
        <v>1936</v>
      </c>
    </row>
    <row r="543" spans="1:15" x14ac:dyDescent="0.3">
      <c r="A543" s="1" t="s">
        <v>1102</v>
      </c>
      <c r="B543" s="1" t="s">
        <v>1103</v>
      </c>
      <c r="C543" s="2">
        <v>19495.32</v>
      </c>
      <c r="D543" s="1" t="s">
        <v>24</v>
      </c>
      <c r="E543" s="1" t="s">
        <v>39</v>
      </c>
      <c r="F543" s="1" t="s">
        <v>26</v>
      </c>
      <c r="G543" s="1" t="s">
        <v>31</v>
      </c>
      <c r="H543" s="1">
        <v>422</v>
      </c>
      <c r="I543" s="1">
        <v>12</v>
      </c>
      <c r="J543" s="1">
        <v>4</v>
      </c>
      <c r="K543" s="2">
        <v>14537.78</v>
      </c>
      <c r="L543" s="1">
        <v>0</v>
      </c>
      <c r="M543" s="1">
        <v>0.253</v>
      </c>
      <c r="N543" s="1">
        <v>6</v>
      </c>
      <c r="O543" s="4" t="s">
        <v>1936</v>
      </c>
    </row>
    <row r="544" spans="1:15" x14ac:dyDescent="0.3">
      <c r="A544" s="1" t="s">
        <v>1104</v>
      </c>
      <c r="B544" s="1" t="s">
        <v>1105</v>
      </c>
      <c r="C544" s="2">
        <v>35966.339999999997</v>
      </c>
      <c r="D544" s="1" t="s">
        <v>24</v>
      </c>
      <c r="E544" s="1" t="s">
        <v>39</v>
      </c>
      <c r="F544" s="1" t="s">
        <v>26</v>
      </c>
      <c r="G544" s="1" t="s">
        <v>46</v>
      </c>
      <c r="H544" s="1">
        <v>1700</v>
      </c>
      <c r="I544" s="1">
        <v>15</v>
      </c>
      <c r="J544" s="1">
        <v>4</v>
      </c>
      <c r="K544" s="2">
        <v>27127.74</v>
      </c>
      <c r="L544" s="1">
        <v>0</v>
      </c>
      <c r="M544" s="1">
        <v>0.25600000000000001</v>
      </c>
      <c r="N544" s="1">
        <v>9</v>
      </c>
      <c r="O544" s="4" t="s">
        <v>1936</v>
      </c>
    </row>
    <row r="545" spans="1:15" x14ac:dyDescent="0.3">
      <c r="A545" s="1" t="s">
        <v>1106</v>
      </c>
      <c r="B545" s="1" t="s">
        <v>1107</v>
      </c>
      <c r="C545" s="2">
        <v>10786.27</v>
      </c>
      <c r="D545" s="1" t="s">
        <v>17</v>
      </c>
      <c r="E545" s="1" t="s">
        <v>18</v>
      </c>
      <c r="F545" s="1" t="s">
        <v>30</v>
      </c>
      <c r="G545" s="1" t="s">
        <v>20</v>
      </c>
      <c r="H545" s="1">
        <v>1294</v>
      </c>
      <c r="I545" s="1">
        <v>15</v>
      </c>
      <c r="J545" s="1">
        <v>4</v>
      </c>
      <c r="K545" s="2">
        <v>6523.46</v>
      </c>
      <c r="L545" s="1">
        <v>0</v>
      </c>
      <c r="M545" s="1">
        <v>0.97599999999999998</v>
      </c>
      <c r="N545" s="1">
        <v>9</v>
      </c>
      <c r="O545" s="4" t="s">
        <v>1936</v>
      </c>
    </row>
    <row r="546" spans="1:15" x14ac:dyDescent="0.3">
      <c r="A546" s="1" t="s">
        <v>1108</v>
      </c>
      <c r="B546" s="1" t="s">
        <v>486</v>
      </c>
      <c r="C546" s="2">
        <v>35293.480000000003</v>
      </c>
      <c r="D546" s="1" t="s">
        <v>51</v>
      </c>
      <c r="E546" s="1" t="s">
        <v>25</v>
      </c>
      <c r="F546" s="1" t="s">
        <v>19</v>
      </c>
      <c r="G546" s="1" t="s">
        <v>46</v>
      </c>
      <c r="H546" s="1">
        <v>428</v>
      </c>
      <c r="I546" s="1">
        <v>9</v>
      </c>
      <c r="J546" s="1">
        <v>0</v>
      </c>
      <c r="K546" s="2">
        <v>8611.39</v>
      </c>
      <c r="L546" s="1">
        <v>0</v>
      </c>
      <c r="M546" s="1">
        <v>0.88700000000000001</v>
      </c>
      <c r="N546" s="1">
        <v>7</v>
      </c>
      <c r="O546" s="4" t="s">
        <v>1936</v>
      </c>
    </row>
    <row r="547" spans="1:15" x14ac:dyDescent="0.3">
      <c r="A547" s="1" t="s">
        <v>1109</v>
      </c>
      <c r="B547" s="1" t="s">
        <v>1110</v>
      </c>
      <c r="C547" s="2">
        <v>36252.1</v>
      </c>
      <c r="D547" s="1" t="s">
        <v>24</v>
      </c>
      <c r="E547" s="1" t="s">
        <v>25</v>
      </c>
      <c r="F547" s="1" t="s">
        <v>30</v>
      </c>
      <c r="G547" s="1" t="s">
        <v>20</v>
      </c>
      <c r="H547" s="1">
        <v>1784</v>
      </c>
      <c r="I547" s="1">
        <v>11</v>
      </c>
      <c r="J547" s="1">
        <v>4</v>
      </c>
      <c r="K547" s="2">
        <v>29049.31</v>
      </c>
      <c r="L547" s="1">
        <v>0</v>
      </c>
      <c r="M547" s="1">
        <v>0.43</v>
      </c>
      <c r="N547" s="1">
        <v>8</v>
      </c>
      <c r="O547" s="4" t="s">
        <v>1936</v>
      </c>
    </row>
    <row r="548" spans="1:15" x14ac:dyDescent="0.3">
      <c r="A548" s="1" t="s">
        <v>1111</v>
      </c>
      <c r="B548" s="1" t="s">
        <v>1112</v>
      </c>
      <c r="C548" s="2">
        <v>14850.59</v>
      </c>
      <c r="D548" s="1" t="s">
        <v>17</v>
      </c>
      <c r="E548" s="1" t="s">
        <v>39</v>
      </c>
      <c r="F548" s="1" t="s">
        <v>26</v>
      </c>
      <c r="G548" s="1" t="s">
        <v>56</v>
      </c>
      <c r="H548" s="1">
        <v>1750</v>
      </c>
      <c r="I548" s="1">
        <v>17</v>
      </c>
      <c r="J548" s="1">
        <v>2</v>
      </c>
      <c r="K548" s="2">
        <v>28024.95</v>
      </c>
      <c r="L548" s="1">
        <v>1</v>
      </c>
      <c r="M548" s="1">
        <v>0.58599999999999997</v>
      </c>
      <c r="N548" s="1">
        <v>3</v>
      </c>
      <c r="O548" s="4" t="s">
        <v>1936</v>
      </c>
    </row>
    <row r="549" spans="1:15" x14ac:dyDescent="0.3">
      <c r="A549" s="1" t="s">
        <v>1113</v>
      </c>
      <c r="B549" s="1" t="s">
        <v>1114</v>
      </c>
      <c r="C549" s="2">
        <v>49558.87</v>
      </c>
      <c r="D549" s="1" t="s">
        <v>51</v>
      </c>
      <c r="E549" s="1" t="s">
        <v>18</v>
      </c>
      <c r="F549" s="1" t="s">
        <v>19</v>
      </c>
      <c r="G549" s="1" t="s">
        <v>36</v>
      </c>
      <c r="H549" s="1">
        <v>1198</v>
      </c>
      <c r="I549" s="1">
        <v>4</v>
      </c>
      <c r="J549" s="1">
        <v>4</v>
      </c>
      <c r="K549" s="2">
        <v>21084.48</v>
      </c>
      <c r="L549" s="1">
        <v>0</v>
      </c>
      <c r="M549" s="1">
        <v>0.92900000000000005</v>
      </c>
      <c r="N549" s="1">
        <v>4</v>
      </c>
      <c r="O549" s="4" t="s">
        <v>1936</v>
      </c>
    </row>
    <row r="550" spans="1:15" x14ac:dyDescent="0.3">
      <c r="A550" s="1" t="s">
        <v>1115</v>
      </c>
      <c r="B550" s="1" t="s">
        <v>1116</v>
      </c>
      <c r="C550" s="2">
        <v>34816.230000000003</v>
      </c>
      <c r="D550" s="1" t="s">
        <v>17</v>
      </c>
      <c r="E550" s="1" t="s">
        <v>29</v>
      </c>
      <c r="F550" s="1" t="s">
        <v>26</v>
      </c>
      <c r="G550" s="1" t="s">
        <v>56</v>
      </c>
      <c r="H550" s="1">
        <v>1481</v>
      </c>
      <c r="I550" s="1">
        <v>7</v>
      </c>
      <c r="J550" s="1">
        <v>2</v>
      </c>
      <c r="K550" s="2">
        <v>24058.74</v>
      </c>
      <c r="L550" s="1">
        <v>0</v>
      </c>
      <c r="M550" s="1">
        <v>0.50800000000000001</v>
      </c>
      <c r="N550" s="1">
        <v>8</v>
      </c>
      <c r="O550" s="4" t="s">
        <v>1936</v>
      </c>
    </row>
    <row r="551" spans="1:15" x14ac:dyDescent="0.3">
      <c r="A551" s="1" t="s">
        <v>1117</v>
      </c>
      <c r="B551" s="1" t="s">
        <v>1118</v>
      </c>
      <c r="C551" s="2">
        <v>29667.35</v>
      </c>
      <c r="D551" s="1" t="s">
        <v>24</v>
      </c>
      <c r="E551" s="1" t="s">
        <v>18</v>
      </c>
      <c r="F551" s="1" t="s">
        <v>30</v>
      </c>
      <c r="G551" s="1" t="s">
        <v>56</v>
      </c>
      <c r="H551" s="1">
        <v>1310</v>
      </c>
      <c r="I551" s="1">
        <v>22</v>
      </c>
      <c r="J551" s="1">
        <v>2</v>
      </c>
      <c r="K551" s="2">
        <v>2372.84</v>
      </c>
      <c r="L551" s="1">
        <v>0</v>
      </c>
      <c r="M551" s="1">
        <v>0.01</v>
      </c>
      <c r="N551" s="1">
        <v>8</v>
      </c>
      <c r="O551" s="4" t="s">
        <v>1936</v>
      </c>
    </row>
    <row r="552" spans="1:15" x14ac:dyDescent="0.3">
      <c r="A552" s="1" t="s">
        <v>1119</v>
      </c>
      <c r="B552" s="1" t="s">
        <v>1120</v>
      </c>
      <c r="C552" s="2">
        <v>4619.7700000000004</v>
      </c>
      <c r="D552" s="1" t="s">
        <v>24</v>
      </c>
      <c r="E552" s="1" t="s">
        <v>29</v>
      </c>
      <c r="F552" s="1" t="s">
        <v>26</v>
      </c>
      <c r="G552" s="1" t="s">
        <v>46</v>
      </c>
      <c r="H552" s="1">
        <v>1335</v>
      </c>
      <c r="I552" s="1">
        <v>22</v>
      </c>
      <c r="J552" s="1">
        <v>3</v>
      </c>
      <c r="K552" s="2">
        <v>18605.89</v>
      </c>
      <c r="L552" s="1">
        <v>0</v>
      </c>
      <c r="M552" s="1">
        <v>0.57899999999999996</v>
      </c>
      <c r="N552" s="1">
        <v>1</v>
      </c>
      <c r="O552" s="4" t="s">
        <v>1936</v>
      </c>
    </row>
    <row r="553" spans="1:15" x14ac:dyDescent="0.3">
      <c r="A553" s="1" t="s">
        <v>1121</v>
      </c>
      <c r="B553" s="1" t="s">
        <v>1122</v>
      </c>
      <c r="C553" s="2">
        <v>32779.339999999997</v>
      </c>
      <c r="D553" s="1" t="s">
        <v>17</v>
      </c>
      <c r="E553" s="1" t="s">
        <v>25</v>
      </c>
      <c r="F553" s="1" t="s">
        <v>30</v>
      </c>
      <c r="G553" s="1" t="s">
        <v>36</v>
      </c>
      <c r="H553" s="1">
        <v>1790</v>
      </c>
      <c r="I553" s="1">
        <v>4</v>
      </c>
      <c r="J553" s="1">
        <v>4</v>
      </c>
      <c r="K553" s="2">
        <v>8905.31</v>
      </c>
      <c r="L553" s="1">
        <v>0</v>
      </c>
      <c r="M553" s="1">
        <v>0.48499999999999999</v>
      </c>
      <c r="N553" s="1">
        <v>7</v>
      </c>
      <c r="O553" s="4" t="s">
        <v>1936</v>
      </c>
    </row>
    <row r="554" spans="1:15" x14ac:dyDescent="0.3">
      <c r="A554" s="1" t="s">
        <v>1123</v>
      </c>
      <c r="B554" s="1" t="s">
        <v>1124</v>
      </c>
      <c r="C554" s="2">
        <v>43371.35</v>
      </c>
      <c r="D554" s="1" t="s">
        <v>51</v>
      </c>
      <c r="E554" s="1" t="s">
        <v>29</v>
      </c>
      <c r="F554" s="1" t="s">
        <v>26</v>
      </c>
      <c r="G554" s="1" t="s">
        <v>20</v>
      </c>
      <c r="H554" s="1">
        <v>964</v>
      </c>
      <c r="I554" s="1">
        <v>19</v>
      </c>
      <c r="J554" s="1">
        <v>1</v>
      </c>
      <c r="K554" s="2">
        <v>13307.55</v>
      </c>
      <c r="L554" s="1">
        <v>0</v>
      </c>
      <c r="M554" s="1">
        <v>0.378</v>
      </c>
      <c r="N554" s="1">
        <v>8</v>
      </c>
      <c r="O554" s="4" t="s">
        <v>1936</v>
      </c>
    </row>
    <row r="555" spans="1:15" x14ac:dyDescent="0.3">
      <c r="A555" s="1" t="s">
        <v>1125</v>
      </c>
      <c r="B555" s="1" t="s">
        <v>1126</v>
      </c>
      <c r="C555" s="2">
        <v>37648.199999999997</v>
      </c>
      <c r="D555" s="1" t="s">
        <v>17</v>
      </c>
      <c r="E555" s="1" t="s">
        <v>29</v>
      </c>
      <c r="F555" s="1" t="s">
        <v>26</v>
      </c>
      <c r="G555" s="1" t="s">
        <v>20</v>
      </c>
      <c r="H555" s="1">
        <v>879</v>
      </c>
      <c r="I555" s="1">
        <v>2</v>
      </c>
      <c r="J555" s="1">
        <v>3</v>
      </c>
      <c r="K555" s="2">
        <v>14450.33</v>
      </c>
      <c r="L555" s="1">
        <v>0</v>
      </c>
      <c r="M555" s="1">
        <v>0.26300000000000001</v>
      </c>
      <c r="N555" s="1">
        <v>9</v>
      </c>
      <c r="O555" s="4" t="s">
        <v>1936</v>
      </c>
    </row>
    <row r="556" spans="1:15" x14ac:dyDescent="0.3">
      <c r="A556" s="1" t="s">
        <v>1127</v>
      </c>
      <c r="B556" s="1" t="s">
        <v>1128</v>
      </c>
      <c r="C556" s="2">
        <v>368.97</v>
      </c>
      <c r="D556" s="1" t="s">
        <v>51</v>
      </c>
      <c r="E556" s="1" t="s">
        <v>29</v>
      </c>
      <c r="F556" s="1" t="s">
        <v>19</v>
      </c>
      <c r="G556" s="1" t="s">
        <v>36</v>
      </c>
      <c r="H556" s="1">
        <v>780</v>
      </c>
      <c r="I556" s="1">
        <v>9</v>
      </c>
      <c r="J556" s="1">
        <v>3</v>
      </c>
      <c r="K556" s="2">
        <v>10382.67</v>
      </c>
      <c r="L556" s="1">
        <v>0</v>
      </c>
      <c r="M556" s="1">
        <v>0.66400000000000003</v>
      </c>
      <c r="N556" s="1">
        <v>6</v>
      </c>
      <c r="O556" s="4" t="s">
        <v>1936</v>
      </c>
    </row>
    <row r="557" spans="1:15" x14ac:dyDescent="0.3">
      <c r="A557" s="1" t="s">
        <v>1129</v>
      </c>
      <c r="B557" s="1" t="s">
        <v>1130</v>
      </c>
      <c r="C557" s="2">
        <v>37495.11</v>
      </c>
      <c r="D557" s="1" t="s">
        <v>17</v>
      </c>
      <c r="E557" s="1" t="s">
        <v>25</v>
      </c>
      <c r="F557" s="1" t="s">
        <v>30</v>
      </c>
      <c r="G557" s="1" t="s">
        <v>36</v>
      </c>
      <c r="H557" s="1">
        <v>1263</v>
      </c>
      <c r="I557" s="1">
        <v>10</v>
      </c>
      <c r="J557" s="1">
        <v>3</v>
      </c>
      <c r="K557" s="2">
        <v>4642.6499999999996</v>
      </c>
      <c r="L557" s="1">
        <v>0</v>
      </c>
      <c r="M557" s="1">
        <v>0.42899999999999999</v>
      </c>
      <c r="N557" s="1">
        <v>2</v>
      </c>
      <c r="O557" s="4" t="s">
        <v>1936</v>
      </c>
    </row>
    <row r="558" spans="1:15" x14ac:dyDescent="0.3">
      <c r="A558" s="1" t="s">
        <v>1131</v>
      </c>
      <c r="B558" s="1" t="s">
        <v>1132</v>
      </c>
      <c r="C558" s="2">
        <v>21337.759999999998</v>
      </c>
      <c r="D558" s="1" t="s">
        <v>51</v>
      </c>
      <c r="E558" s="1" t="s">
        <v>29</v>
      </c>
      <c r="F558" s="1" t="s">
        <v>26</v>
      </c>
      <c r="G558" s="1" t="s">
        <v>20</v>
      </c>
      <c r="H558" s="1">
        <v>1956</v>
      </c>
      <c r="I558" s="1">
        <v>18</v>
      </c>
      <c r="J558" s="1">
        <v>2</v>
      </c>
      <c r="K558" s="2">
        <v>3779.42</v>
      </c>
      <c r="L558" s="1">
        <v>0</v>
      </c>
      <c r="M558" s="1">
        <v>0.36899999999999999</v>
      </c>
      <c r="N558" s="1">
        <v>2</v>
      </c>
      <c r="O558" s="4" t="s">
        <v>1936</v>
      </c>
    </row>
    <row r="559" spans="1:15" x14ac:dyDescent="0.3">
      <c r="A559" s="1" t="s">
        <v>1133</v>
      </c>
      <c r="B559" s="1" t="s">
        <v>218</v>
      </c>
      <c r="C559" s="2">
        <v>4164.93</v>
      </c>
      <c r="D559" s="1" t="s">
        <v>24</v>
      </c>
      <c r="E559" s="1" t="s">
        <v>39</v>
      </c>
      <c r="F559" s="1" t="s">
        <v>30</v>
      </c>
      <c r="G559" s="1" t="s">
        <v>46</v>
      </c>
      <c r="H559" s="1">
        <v>734</v>
      </c>
      <c r="I559" s="1">
        <v>23</v>
      </c>
      <c r="J559" s="1">
        <v>3</v>
      </c>
      <c r="K559" s="2">
        <v>25689.63</v>
      </c>
      <c r="L559" s="1">
        <v>1</v>
      </c>
      <c r="M559" s="1">
        <v>0.06</v>
      </c>
      <c r="N559" s="1">
        <v>8</v>
      </c>
      <c r="O559" s="4" t="s">
        <v>1936</v>
      </c>
    </row>
    <row r="560" spans="1:15" x14ac:dyDescent="0.3">
      <c r="A560" s="1" t="s">
        <v>1134</v>
      </c>
      <c r="B560" s="1" t="s">
        <v>1135</v>
      </c>
      <c r="C560" s="2">
        <v>5909.54</v>
      </c>
      <c r="D560" s="1" t="s">
        <v>24</v>
      </c>
      <c r="E560" s="1" t="s">
        <v>29</v>
      </c>
      <c r="F560" s="1" t="s">
        <v>30</v>
      </c>
      <c r="G560" s="1" t="s">
        <v>56</v>
      </c>
      <c r="H560" s="1">
        <v>714</v>
      </c>
      <c r="I560" s="1">
        <v>13</v>
      </c>
      <c r="J560" s="1">
        <v>3</v>
      </c>
      <c r="K560" s="2">
        <v>18420.04</v>
      </c>
      <c r="L560" s="1">
        <v>1</v>
      </c>
      <c r="M560" s="1">
        <v>0.66400000000000003</v>
      </c>
      <c r="N560" s="1">
        <v>5</v>
      </c>
      <c r="O560" s="4" t="s">
        <v>1936</v>
      </c>
    </row>
    <row r="561" spans="1:15" x14ac:dyDescent="0.3">
      <c r="A561" s="1" t="s">
        <v>1136</v>
      </c>
      <c r="B561" s="1" t="s">
        <v>1137</v>
      </c>
      <c r="C561" s="2">
        <v>39003.56</v>
      </c>
      <c r="D561" s="1" t="s">
        <v>17</v>
      </c>
      <c r="E561" s="1" t="s">
        <v>18</v>
      </c>
      <c r="F561" s="1" t="s">
        <v>26</v>
      </c>
      <c r="G561" s="1" t="s">
        <v>46</v>
      </c>
      <c r="H561" s="1">
        <v>98</v>
      </c>
      <c r="I561" s="1">
        <v>6</v>
      </c>
      <c r="J561" s="1">
        <v>0</v>
      </c>
      <c r="K561" s="2">
        <v>13128.02</v>
      </c>
      <c r="L561" s="1">
        <v>0</v>
      </c>
      <c r="M561" s="1">
        <v>0.20599999999999999</v>
      </c>
      <c r="N561" s="1">
        <v>5</v>
      </c>
      <c r="O561" s="4" t="s">
        <v>1936</v>
      </c>
    </row>
    <row r="562" spans="1:15" x14ac:dyDescent="0.3">
      <c r="A562" s="1" t="s">
        <v>1138</v>
      </c>
      <c r="B562" s="1" t="s">
        <v>1139</v>
      </c>
      <c r="C562" s="2">
        <v>6679.15</v>
      </c>
      <c r="D562" s="1" t="s">
        <v>17</v>
      </c>
      <c r="E562" s="1" t="s">
        <v>39</v>
      </c>
      <c r="F562" s="1" t="s">
        <v>26</v>
      </c>
      <c r="G562" s="1" t="s">
        <v>46</v>
      </c>
      <c r="H562" s="1">
        <v>810</v>
      </c>
      <c r="I562" s="1">
        <v>8</v>
      </c>
      <c r="J562" s="1">
        <v>4</v>
      </c>
      <c r="K562" s="2">
        <v>29336.55</v>
      </c>
      <c r="L562" s="1">
        <v>0</v>
      </c>
      <c r="M562" s="1">
        <v>2.3E-2</v>
      </c>
      <c r="N562" s="1">
        <v>8</v>
      </c>
      <c r="O562" s="4" t="s">
        <v>1936</v>
      </c>
    </row>
    <row r="563" spans="1:15" x14ac:dyDescent="0.3">
      <c r="A563" s="1" t="s">
        <v>1140</v>
      </c>
      <c r="B563" s="1" t="s">
        <v>1141</v>
      </c>
      <c r="C563" s="2">
        <v>35338.46</v>
      </c>
      <c r="D563" s="1" t="s">
        <v>24</v>
      </c>
      <c r="E563" s="1" t="s">
        <v>25</v>
      </c>
      <c r="F563" s="1" t="s">
        <v>30</v>
      </c>
      <c r="G563" s="1" t="s">
        <v>36</v>
      </c>
      <c r="H563" s="1">
        <v>1991</v>
      </c>
      <c r="I563" s="1">
        <v>14</v>
      </c>
      <c r="J563" s="1">
        <v>1</v>
      </c>
      <c r="K563" s="2">
        <v>7652.7</v>
      </c>
      <c r="L563" s="1">
        <v>0</v>
      </c>
      <c r="M563" s="1">
        <v>0.46500000000000002</v>
      </c>
      <c r="N563" s="1">
        <v>8</v>
      </c>
      <c r="O563" s="4" t="s">
        <v>1936</v>
      </c>
    </row>
    <row r="564" spans="1:15" x14ac:dyDescent="0.3">
      <c r="A564" s="1" t="s">
        <v>1142</v>
      </c>
      <c r="B564" s="1" t="s">
        <v>1143</v>
      </c>
      <c r="C564" s="2">
        <v>12392.81</v>
      </c>
      <c r="D564" s="1" t="s">
        <v>51</v>
      </c>
      <c r="E564" s="1" t="s">
        <v>39</v>
      </c>
      <c r="F564" s="1" t="s">
        <v>19</v>
      </c>
      <c r="G564" s="1" t="s">
        <v>46</v>
      </c>
      <c r="H564" s="1">
        <v>345</v>
      </c>
      <c r="I564" s="1">
        <v>2</v>
      </c>
      <c r="J564" s="1">
        <v>2</v>
      </c>
      <c r="K564" s="2">
        <v>23846.79</v>
      </c>
      <c r="L564" s="1">
        <v>0</v>
      </c>
      <c r="M564" s="1">
        <v>0.876</v>
      </c>
      <c r="N564" s="1">
        <v>4</v>
      </c>
      <c r="O564" s="4" t="s">
        <v>1936</v>
      </c>
    </row>
    <row r="565" spans="1:15" x14ac:dyDescent="0.3">
      <c r="A565" s="1" t="s">
        <v>1144</v>
      </c>
      <c r="B565" s="1" t="s">
        <v>1145</v>
      </c>
      <c r="C565" s="2">
        <v>16877.939999999999</v>
      </c>
      <c r="D565" s="1" t="s">
        <v>51</v>
      </c>
      <c r="E565" s="1" t="s">
        <v>25</v>
      </c>
      <c r="F565" s="1" t="s">
        <v>26</v>
      </c>
      <c r="G565" s="1" t="s">
        <v>36</v>
      </c>
      <c r="H565" s="1">
        <v>128</v>
      </c>
      <c r="I565" s="1">
        <v>10</v>
      </c>
      <c r="J565" s="1">
        <v>0</v>
      </c>
      <c r="K565" s="2">
        <v>9044.3700000000008</v>
      </c>
      <c r="L565" s="1">
        <v>1</v>
      </c>
      <c r="M565" s="1">
        <v>0.749</v>
      </c>
      <c r="N565" s="1">
        <v>2</v>
      </c>
      <c r="O565" s="4" t="s">
        <v>1936</v>
      </c>
    </row>
    <row r="566" spans="1:15" x14ac:dyDescent="0.3">
      <c r="A566" s="1" t="s">
        <v>1146</v>
      </c>
      <c r="B566" s="1" t="s">
        <v>1147</v>
      </c>
      <c r="C566" s="2">
        <v>12921.26</v>
      </c>
      <c r="D566" s="1" t="s">
        <v>24</v>
      </c>
      <c r="E566" s="1" t="s">
        <v>18</v>
      </c>
      <c r="F566" s="1" t="s">
        <v>30</v>
      </c>
      <c r="G566" s="1" t="s">
        <v>20</v>
      </c>
      <c r="H566" s="1">
        <v>46</v>
      </c>
      <c r="I566" s="1">
        <v>23</v>
      </c>
      <c r="J566" s="1">
        <v>1</v>
      </c>
      <c r="K566" s="2">
        <v>27048.27</v>
      </c>
      <c r="L566" s="1">
        <v>0</v>
      </c>
      <c r="M566" s="1">
        <v>0.86199999999999999</v>
      </c>
      <c r="N566" s="1">
        <v>4</v>
      </c>
      <c r="O566" s="4" t="s">
        <v>1936</v>
      </c>
    </row>
    <row r="567" spans="1:15" x14ac:dyDescent="0.3">
      <c r="A567" s="1" t="s">
        <v>1148</v>
      </c>
      <c r="B567" s="1" t="s">
        <v>1149</v>
      </c>
      <c r="C567" s="2">
        <v>11840.72</v>
      </c>
      <c r="D567" s="1" t="s">
        <v>51</v>
      </c>
      <c r="E567" s="1" t="s">
        <v>29</v>
      </c>
      <c r="F567" s="1" t="s">
        <v>19</v>
      </c>
      <c r="G567" s="1" t="s">
        <v>46</v>
      </c>
      <c r="H567" s="1">
        <v>1526</v>
      </c>
      <c r="I567" s="1">
        <v>19</v>
      </c>
      <c r="J567" s="1">
        <v>0</v>
      </c>
      <c r="K567" s="2">
        <v>28593.58</v>
      </c>
      <c r="L567" s="1">
        <v>0</v>
      </c>
      <c r="M567" s="1">
        <v>0.254</v>
      </c>
      <c r="N567" s="1">
        <v>3</v>
      </c>
      <c r="O567" s="4" t="s">
        <v>1936</v>
      </c>
    </row>
    <row r="568" spans="1:15" x14ac:dyDescent="0.3">
      <c r="A568" s="1" t="s">
        <v>1150</v>
      </c>
      <c r="B568" s="1" t="s">
        <v>1151</v>
      </c>
      <c r="C568" s="2">
        <v>46697.06</v>
      </c>
      <c r="D568" s="1" t="s">
        <v>24</v>
      </c>
      <c r="E568" s="1" t="s">
        <v>18</v>
      </c>
      <c r="F568" s="1" t="s">
        <v>26</v>
      </c>
      <c r="G568" s="1" t="s">
        <v>31</v>
      </c>
      <c r="H568" s="1">
        <v>1785</v>
      </c>
      <c r="I568" s="1">
        <v>16</v>
      </c>
      <c r="J568" s="1">
        <v>2</v>
      </c>
      <c r="K568" s="2">
        <v>8775.86</v>
      </c>
      <c r="L568" s="1">
        <v>0</v>
      </c>
      <c r="M568" s="1">
        <v>0.27200000000000002</v>
      </c>
      <c r="N568" s="1">
        <v>6</v>
      </c>
      <c r="O568" s="4" t="s">
        <v>1936</v>
      </c>
    </row>
    <row r="569" spans="1:15" x14ac:dyDescent="0.3">
      <c r="A569" s="1" t="s">
        <v>1152</v>
      </c>
      <c r="B569" s="1" t="s">
        <v>1153</v>
      </c>
      <c r="C569" s="2">
        <v>35248.800000000003</v>
      </c>
      <c r="D569" s="1" t="s">
        <v>24</v>
      </c>
      <c r="E569" s="1" t="s">
        <v>29</v>
      </c>
      <c r="F569" s="1" t="s">
        <v>30</v>
      </c>
      <c r="G569" s="1" t="s">
        <v>20</v>
      </c>
      <c r="H569" s="1">
        <v>169</v>
      </c>
      <c r="I569" s="1">
        <v>10</v>
      </c>
      <c r="J569" s="1">
        <v>0</v>
      </c>
      <c r="K569" s="2">
        <v>9161.4500000000007</v>
      </c>
      <c r="L569" s="1">
        <v>0</v>
      </c>
      <c r="M569" s="1">
        <v>0.13900000000000001</v>
      </c>
      <c r="N569" s="1">
        <v>3</v>
      </c>
      <c r="O569" s="4" t="s">
        <v>1936</v>
      </c>
    </row>
    <row r="570" spans="1:15" x14ac:dyDescent="0.3">
      <c r="A570" s="1" t="s">
        <v>1154</v>
      </c>
      <c r="B570" s="1" t="s">
        <v>1155</v>
      </c>
      <c r="C570" s="2">
        <v>22215.32</v>
      </c>
      <c r="D570" s="1" t="s">
        <v>17</v>
      </c>
      <c r="E570" s="1" t="s">
        <v>25</v>
      </c>
      <c r="F570" s="1" t="s">
        <v>26</v>
      </c>
      <c r="G570" s="1" t="s">
        <v>31</v>
      </c>
      <c r="H570" s="1">
        <v>488</v>
      </c>
      <c r="I570" s="1">
        <v>21</v>
      </c>
      <c r="J570" s="1">
        <v>1</v>
      </c>
      <c r="K570" s="2">
        <v>24969.86</v>
      </c>
      <c r="L570" s="1">
        <v>0</v>
      </c>
      <c r="M570" s="1">
        <v>0.17100000000000001</v>
      </c>
      <c r="N570" s="1">
        <v>8</v>
      </c>
      <c r="O570" s="4" t="s">
        <v>1936</v>
      </c>
    </row>
    <row r="571" spans="1:15" x14ac:dyDescent="0.3">
      <c r="A571" s="1" t="s">
        <v>1156</v>
      </c>
      <c r="B571" s="1" t="s">
        <v>1157</v>
      </c>
      <c r="C571" s="2">
        <v>34646.67</v>
      </c>
      <c r="D571" s="1" t="s">
        <v>51</v>
      </c>
      <c r="E571" s="1" t="s">
        <v>39</v>
      </c>
      <c r="F571" s="1" t="s">
        <v>19</v>
      </c>
      <c r="G571" s="1" t="s">
        <v>31</v>
      </c>
      <c r="H571" s="1">
        <v>1943</v>
      </c>
      <c r="I571" s="1">
        <v>8</v>
      </c>
      <c r="J571" s="1">
        <v>4</v>
      </c>
      <c r="K571" s="2">
        <v>12608.55</v>
      </c>
      <c r="L571" s="1">
        <v>0</v>
      </c>
      <c r="M571" s="1">
        <v>2.3E-2</v>
      </c>
      <c r="N571" s="1">
        <v>7</v>
      </c>
      <c r="O571" s="4" t="s">
        <v>1936</v>
      </c>
    </row>
    <row r="572" spans="1:15" x14ac:dyDescent="0.3">
      <c r="A572" s="1" t="s">
        <v>1158</v>
      </c>
      <c r="B572" s="1" t="s">
        <v>1159</v>
      </c>
      <c r="C572" s="2">
        <v>47233.48</v>
      </c>
      <c r="D572" s="1" t="s">
        <v>17</v>
      </c>
      <c r="E572" s="1" t="s">
        <v>25</v>
      </c>
      <c r="F572" s="1" t="s">
        <v>26</v>
      </c>
      <c r="G572" s="1" t="s">
        <v>56</v>
      </c>
      <c r="H572" s="1">
        <v>481</v>
      </c>
      <c r="I572" s="1">
        <v>1</v>
      </c>
      <c r="J572" s="1">
        <v>1</v>
      </c>
      <c r="K572" s="2">
        <v>2932.78</v>
      </c>
      <c r="L572" s="1">
        <v>0</v>
      </c>
      <c r="M572" s="1">
        <v>0.107</v>
      </c>
      <c r="N572" s="1">
        <v>9</v>
      </c>
      <c r="O572" s="4" t="s">
        <v>1936</v>
      </c>
    </row>
    <row r="573" spans="1:15" x14ac:dyDescent="0.3">
      <c r="A573" s="1" t="s">
        <v>1160</v>
      </c>
      <c r="B573" s="1" t="s">
        <v>1161</v>
      </c>
      <c r="C573" s="2">
        <v>43451.8</v>
      </c>
      <c r="D573" s="1" t="s">
        <v>51</v>
      </c>
      <c r="E573" s="1" t="s">
        <v>29</v>
      </c>
      <c r="F573" s="1" t="s">
        <v>19</v>
      </c>
      <c r="G573" s="1" t="s">
        <v>46</v>
      </c>
      <c r="H573" s="1">
        <v>896</v>
      </c>
      <c r="I573" s="1">
        <v>1</v>
      </c>
      <c r="J573" s="1">
        <v>1</v>
      </c>
      <c r="K573" s="2">
        <v>2558.16</v>
      </c>
      <c r="L573" s="1">
        <v>0</v>
      </c>
      <c r="M573" s="1">
        <v>0.27700000000000002</v>
      </c>
      <c r="N573" s="1">
        <v>9</v>
      </c>
      <c r="O573" s="4" t="s">
        <v>1936</v>
      </c>
    </row>
    <row r="574" spans="1:15" x14ac:dyDescent="0.3">
      <c r="A574" s="1" t="s">
        <v>1162</v>
      </c>
      <c r="B574" s="1" t="s">
        <v>1163</v>
      </c>
      <c r="C574" s="2">
        <v>32909.370000000003</v>
      </c>
      <c r="D574" s="1" t="s">
        <v>17</v>
      </c>
      <c r="E574" s="1" t="s">
        <v>39</v>
      </c>
      <c r="F574" s="1" t="s">
        <v>26</v>
      </c>
      <c r="G574" s="1" t="s">
        <v>20</v>
      </c>
      <c r="H574" s="1">
        <v>314</v>
      </c>
      <c r="I574" s="1">
        <v>14</v>
      </c>
      <c r="J574" s="1">
        <v>1</v>
      </c>
      <c r="K574" s="2">
        <v>19126.43</v>
      </c>
      <c r="L574" s="1">
        <v>0</v>
      </c>
      <c r="M574" s="1">
        <v>1.4E-2</v>
      </c>
      <c r="N574" s="1">
        <v>6</v>
      </c>
      <c r="O574" s="4" t="s">
        <v>1936</v>
      </c>
    </row>
    <row r="575" spans="1:15" x14ac:dyDescent="0.3">
      <c r="A575" s="1" t="s">
        <v>1164</v>
      </c>
      <c r="B575" s="1" t="s">
        <v>1165</v>
      </c>
      <c r="C575" s="2">
        <v>39130.15</v>
      </c>
      <c r="D575" s="1" t="s">
        <v>51</v>
      </c>
      <c r="E575" s="1" t="s">
        <v>39</v>
      </c>
      <c r="F575" s="1" t="s">
        <v>19</v>
      </c>
      <c r="G575" s="1" t="s">
        <v>46</v>
      </c>
      <c r="H575" s="1">
        <v>1241</v>
      </c>
      <c r="I575" s="1">
        <v>0</v>
      </c>
      <c r="J575" s="1">
        <v>1</v>
      </c>
      <c r="K575" s="2">
        <v>27733.25</v>
      </c>
      <c r="L575" s="1">
        <v>0</v>
      </c>
      <c r="M575" s="1">
        <v>0.17599999999999999</v>
      </c>
      <c r="N575" s="1">
        <v>9</v>
      </c>
      <c r="O575" s="4" t="s">
        <v>1936</v>
      </c>
    </row>
    <row r="576" spans="1:15" x14ac:dyDescent="0.3">
      <c r="A576" s="1" t="s">
        <v>1166</v>
      </c>
      <c r="B576" s="1" t="s">
        <v>1167</v>
      </c>
      <c r="C576" s="2">
        <v>29029.61</v>
      </c>
      <c r="D576" s="1" t="s">
        <v>51</v>
      </c>
      <c r="E576" s="1" t="s">
        <v>18</v>
      </c>
      <c r="F576" s="1" t="s">
        <v>26</v>
      </c>
      <c r="G576" s="1" t="s">
        <v>20</v>
      </c>
      <c r="H576" s="1">
        <v>914</v>
      </c>
      <c r="I576" s="1">
        <v>9</v>
      </c>
      <c r="J576" s="1">
        <v>1</v>
      </c>
      <c r="K576" s="2">
        <v>1711.27</v>
      </c>
      <c r="L576" s="1">
        <v>0</v>
      </c>
      <c r="M576" s="1">
        <v>0.182</v>
      </c>
      <c r="N576" s="1">
        <v>8</v>
      </c>
      <c r="O576" s="4" t="s">
        <v>1936</v>
      </c>
    </row>
    <row r="577" spans="1:15" x14ac:dyDescent="0.3">
      <c r="A577" s="1" t="s">
        <v>1168</v>
      </c>
      <c r="B577" s="1" t="s">
        <v>1169</v>
      </c>
      <c r="C577" s="2">
        <v>44906.63</v>
      </c>
      <c r="D577" s="1" t="s">
        <v>51</v>
      </c>
      <c r="E577" s="1" t="s">
        <v>39</v>
      </c>
      <c r="F577" s="1" t="s">
        <v>26</v>
      </c>
      <c r="G577" s="1" t="s">
        <v>36</v>
      </c>
      <c r="H577" s="1">
        <v>1844</v>
      </c>
      <c r="I577" s="1">
        <v>16</v>
      </c>
      <c r="J577" s="1">
        <v>4</v>
      </c>
      <c r="K577" s="2">
        <v>435.39</v>
      </c>
      <c r="L577" s="1">
        <v>0</v>
      </c>
      <c r="M577" s="1">
        <v>0.16</v>
      </c>
      <c r="N577" s="1">
        <v>9</v>
      </c>
      <c r="O577" s="4" t="s">
        <v>1936</v>
      </c>
    </row>
    <row r="578" spans="1:15" x14ac:dyDescent="0.3">
      <c r="A578" s="1" t="s">
        <v>1170</v>
      </c>
      <c r="B578" s="1" t="s">
        <v>1171</v>
      </c>
      <c r="C578" s="2">
        <v>46355.38</v>
      </c>
      <c r="D578" s="1" t="s">
        <v>17</v>
      </c>
      <c r="E578" s="1" t="s">
        <v>39</v>
      </c>
      <c r="F578" s="1" t="s">
        <v>30</v>
      </c>
      <c r="G578" s="1" t="s">
        <v>20</v>
      </c>
      <c r="H578" s="1">
        <v>1244</v>
      </c>
      <c r="I578" s="1">
        <v>0</v>
      </c>
      <c r="J578" s="1">
        <v>0</v>
      </c>
      <c r="K578" s="2">
        <v>25619.52</v>
      </c>
      <c r="L578" s="1">
        <v>0</v>
      </c>
      <c r="M578" s="1">
        <v>0.65400000000000003</v>
      </c>
      <c r="N578" s="1">
        <v>6</v>
      </c>
      <c r="O578" s="4" t="s">
        <v>1936</v>
      </c>
    </row>
    <row r="579" spans="1:15" x14ac:dyDescent="0.3">
      <c r="A579" s="1" t="s">
        <v>1172</v>
      </c>
      <c r="B579" s="1" t="s">
        <v>1173</v>
      </c>
      <c r="C579" s="2">
        <v>17613.55</v>
      </c>
      <c r="D579" s="1" t="s">
        <v>24</v>
      </c>
      <c r="E579" s="1" t="s">
        <v>18</v>
      </c>
      <c r="F579" s="1" t="s">
        <v>19</v>
      </c>
      <c r="G579" s="1" t="s">
        <v>56</v>
      </c>
      <c r="H579" s="1">
        <v>1421</v>
      </c>
      <c r="I579" s="1">
        <v>9</v>
      </c>
      <c r="J579" s="1">
        <v>4</v>
      </c>
      <c r="K579" s="2">
        <v>2068.54</v>
      </c>
      <c r="L579" s="1">
        <v>0</v>
      </c>
      <c r="M579" s="1">
        <v>0.11799999999999999</v>
      </c>
      <c r="N579" s="1">
        <v>6</v>
      </c>
      <c r="O579" s="4" t="s">
        <v>1936</v>
      </c>
    </row>
    <row r="580" spans="1:15" x14ac:dyDescent="0.3">
      <c r="A580" s="1" t="s">
        <v>1174</v>
      </c>
      <c r="B580" s="1" t="s">
        <v>1175</v>
      </c>
      <c r="C580" s="2">
        <v>24203.11</v>
      </c>
      <c r="D580" s="1" t="s">
        <v>51</v>
      </c>
      <c r="E580" s="1" t="s">
        <v>18</v>
      </c>
      <c r="F580" s="1" t="s">
        <v>19</v>
      </c>
      <c r="G580" s="1" t="s">
        <v>20</v>
      </c>
      <c r="H580" s="1">
        <v>1599</v>
      </c>
      <c r="I580" s="1">
        <v>9</v>
      </c>
      <c r="J580" s="1">
        <v>4</v>
      </c>
      <c r="K580" s="2">
        <v>24668.35</v>
      </c>
      <c r="L580" s="1">
        <v>0</v>
      </c>
      <c r="M580" s="1">
        <v>0.46400000000000002</v>
      </c>
      <c r="N580" s="1">
        <v>5</v>
      </c>
      <c r="O580" s="4" t="s">
        <v>1936</v>
      </c>
    </row>
    <row r="581" spans="1:15" x14ac:dyDescent="0.3">
      <c r="A581" s="1" t="s">
        <v>1176</v>
      </c>
      <c r="B581" s="1" t="s">
        <v>1177</v>
      </c>
      <c r="C581" s="2">
        <v>27533.82</v>
      </c>
      <c r="D581" s="1" t="s">
        <v>24</v>
      </c>
      <c r="E581" s="1" t="s">
        <v>39</v>
      </c>
      <c r="F581" s="1" t="s">
        <v>19</v>
      </c>
      <c r="G581" s="1" t="s">
        <v>31</v>
      </c>
      <c r="H581" s="1">
        <v>1018</v>
      </c>
      <c r="I581" s="1">
        <v>16</v>
      </c>
      <c r="J581" s="1">
        <v>0</v>
      </c>
      <c r="K581" s="2">
        <v>9689.2000000000007</v>
      </c>
      <c r="L581" s="1">
        <v>0</v>
      </c>
      <c r="M581" s="1">
        <v>0.43</v>
      </c>
      <c r="N581" s="1">
        <v>8</v>
      </c>
      <c r="O581" s="4" t="s">
        <v>1936</v>
      </c>
    </row>
    <row r="582" spans="1:15" x14ac:dyDescent="0.3">
      <c r="A582" s="1" t="s">
        <v>1178</v>
      </c>
      <c r="B582" s="1" t="s">
        <v>1179</v>
      </c>
      <c r="C582" s="2">
        <v>2218.46</v>
      </c>
      <c r="D582" s="1" t="s">
        <v>51</v>
      </c>
      <c r="E582" s="1" t="s">
        <v>29</v>
      </c>
      <c r="F582" s="1" t="s">
        <v>26</v>
      </c>
      <c r="G582" s="1" t="s">
        <v>46</v>
      </c>
      <c r="H582" s="1">
        <v>452</v>
      </c>
      <c r="I582" s="1">
        <v>15</v>
      </c>
      <c r="J582" s="1">
        <v>2</v>
      </c>
      <c r="K582" s="2">
        <v>24129.11</v>
      </c>
      <c r="L582" s="1">
        <v>0</v>
      </c>
      <c r="M582" s="1">
        <v>0.39600000000000002</v>
      </c>
      <c r="N582" s="1">
        <v>8</v>
      </c>
      <c r="O582" s="4" t="s">
        <v>1936</v>
      </c>
    </row>
    <row r="583" spans="1:15" x14ac:dyDescent="0.3">
      <c r="A583" s="1" t="s">
        <v>1180</v>
      </c>
      <c r="B583" s="1" t="s">
        <v>1181</v>
      </c>
      <c r="C583" s="2">
        <v>11881.68</v>
      </c>
      <c r="D583" s="1" t="s">
        <v>24</v>
      </c>
      <c r="E583" s="1" t="s">
        <v>25</v>
      </c>
      <c r="F583" s="1" t="s">
        <v>19</v>
      </c>
      <c r="G583" s="1" t="s">
        <v>31</v>
      </c>
      <c r="H583" s="1">
        <v>1610</v>
      </c>
      <c r="I583" s="1">
        <v>21</v>
      </c>
      <c r="J583" s="1">
        <v>1</v>
      </c>
      <c r="K583" s="2">
        <v>27923.53</v>
      </c>
      <c r="L583" s="1">
        <v>0</v>
      </c>
      <c r="M583" s="1">
        <v>6.6000000000000003E-2</v>
      </c>
      <c r="N583" s="1">
        <v>6</v>
      </c>
      <c r="O583" s="4" t="s">
        <v>1936</v>
      </c>
    </row>
    <row r="584" spans="1:15" x14ac:dyDescent="0.3">
      <c r="A584" s="1" t="s">
        <v>1182</v>
      </c>
      <c r="B584" s="1" t="s">
        <v>1183</v>
      </c>
      <c r="C584" s="2">
        <v>41139.589999999997</v>
      </c>
      <c r="D584" s="1" t="s">
        <v>51</v>
      </c>
      <c r="E584" s="1" t="s">
        <v>18</v>
      </c>
      <c r="F584" s="1" t="s">
        <v>30</v>
      </c>
      <c r="G584" s="1" t="s">
        <v>36</v>
      </c>
      <c r="H584" s="1">
        <v>1404</v>
      </c>
      <c r="I584" s="1">
        <v>0</v>
      </c>
      <c r="J584" s="1">
        <v>2</v>
      </c>
      <c r="K584" s="2">
        <v>16299.66</v>
      </c>
      <c r="L584" s="1">
        <v>1</v>
      </c>
      <c r="M584" s="1">
        <v>8.3000000000000004E-2</v>
      </c>
      <c r="N584" s="1">
        <v>7</v>
      </c>
      <c r="O584" s="4" t="s">
        <v>1936</v>
      </c>
    </row>
    <row r="585" spans="1:15" x14ac:dyDescent="0.3">
      <c r="A585" s="1" t="s">
        <v>1184</v>
      </c>
      <c r="B585" s="1" t="s">
        <v>1185</v>
      </c>
      <c r="C585" s="2">
        <v>4830.9399999999996</v>
      </c>
      <c r="D585" s="1" t="s">
        <v>17</v>
      </c>
      <c r="E585" s="1" t="s">
        <v>39</v>
      </c>
      <c r="F585" s="1" t="s">
        <v>19</v>
      </c>
      <c r="G585" s="1" t="s">
        <v>20</v>
      </c>
      <c r="H585" s="1">
        <v>542</v>
      </c>
      <c r="I585" s="1">
        <v>6</v>
      </c>
      <c r="J585" s="1">
        <v>0</v>
      </c>
      <c r="K585" s="2">
        <v>5537.22</v>
      </c>
      <c r="L585" s="1">
        <v>0</v>
      </c>
      <c r="M585" s="1">
        <v>0.42699999999999999</v>
      </c>
      <c r="N585" s="1">
        <v>4</v>
      </c>
      <c r="O585" s="4" t="s">
        <v>1936</v>
      </c>
    </row>
    <row r="586" spans="1:15" x14ac:dyDescent="0.3">
      <c r="A586" s="1" t="s">
        <v>1186</v>
      </c>
      <c r="B586" s="1" t="s">
        <v>668</v>
      </c>
      <c r="C586" s="2">
        <v>34637.19</v>
      </c>
      <c r="D586" s="1" t="s">
        <v>24</v>
      </c>
      <c r="E586" s="1" t="s">
        <v>29</v>
      </c>
      <c r="F586" s="1" t="s">
        <v>19</v>
      </c>
      <c r="G586" s="1" t="s">
        <v>31</v>
      </c>
      <c r="H586" s="1">
        <v>451</v>
      </c>
      <c r="I586" s="1">
        <v>19</v>
      </c>
      <c r="J586" s="1">
        <v>1</v>
      </c>
      <c r="K586" s="2">
        <v>28256.73</v>
      </c>
      <c r="L586" s="1">
        <v>0</v>
      </c>
      <c r="M586" s="1">
        <v>0.82099999999999995</v>
      </c>
      <c r="N586" s="1">
        <v>9</v>
      </c>
      <c r="O586" s="4" t="s">
        <v>1936</v>
      </c>
    </row>
    <row r="587" spans="1:15" x14ac:dyDescent="0.3">
      <c r="A587" s="1" t="s">
        <v>1187</v>
      </c>
      <c r="B587" s="1" t="s">
        <v>1188</v>
      </c>
      <c r="C587" s="2">
        <v>25977.040000000001</v>
      </c>
      <c r="D587" s="1" t="s">
        <v>17</v>
      </c>
      <c r="E587" s="1" t="s">
        <v>25</v>
      </c>
      <c r="F587" s="1" t="s">
        <v>26</v>
      </c>
      <c r="G587" s="1" t="s">
        <v>31</v>
      </c>
      <c r="H587" s="1">
        <v>1888</v>
      </c>
      <c r="I587" s="1">
        <v>20</v>
      </c>
      <c r="J587" s="1">
        <v>4</v>
      </c>
      <c r="K587" s="2">
        <v>26774.97</v>
      </c>
      <c r="L587" s="1">
        <v>0</v>
      </c>
      <c r="M587" s="1">
        <v>2.5000000000000001E-2</v>
      </c>
      <c r="N587" s="1">
        <v>6</v>
      </c>
      <c r="O587" s="4" t="s">
        <v>1936</v>
      </c>
    </row>
    <row r="588" spans="1:15" x14ac:dyDescent="0.3">
      <c r="A588" s="1" t="s">
        <v>1189</v>
      </c>
      <c r="B588" s="1" t="s">
        <v>1190</v>
      </c>
      <c r="C588" s="2">
        <v>26814.59</v>
      </c>
      <c r="D588" s="1" t="s">
        <v>51</v>
      </c>
      <c r="E588" s="1" t="s">
        <v>29</v>
      </c>
      <c r="F588" s="1" t="s">
        <v>19</v>
      </c>
      <c r="G588" s="1" t="s">
        <v>36</v>
      </c>
      <c r="H588" s="1">
        <v>1223</v>
      </c>
      <c r="I588" s="1">
        <v>2</v>
      </c>
      <c r="J588" s="1">
        <v>1</v>
      </c>
      <c r="K588" s="2">
        <v>24034.46</v>
      </c>
      <c r="L588" s="1">
        <v>0</v>
      </c>
      <c r="M588" s="1">
        <v>0.60099999999999998</v>
      </c>
      <c r="N588" s="1">
        <v>9</v>
      </c>
      <c r="O588" s="4" t="s">
        <v>1936</v>
      </c>
    </row>
    <row r="589" spans="1:15" x14ac:dyDescent="0.3">
      <c r="A589" s="1" t="s">
        <v>1191</v>
      </c>
      <c r="B589" s="1" t="s">
        <v>1192</v>
      </c>
      <c r="C589" s="2">
        <v>11770.37</v>
      </c>
      <c r="D589" s="1" t="s">
        <v>51</v>
      </c>
      <c r="E589" s="1" t="s">
        <v>25</v>
      </c>
      <c r="F589" s="1" t="s">
        <v>30</v>
      </c>
      <c r="G589" s="1" t="s">
        <v>46</v>
      </c>
      <c r="H589" s="1">
        <v>1689</v>
      </c>
      <c r="I589" s="1">
        <v>0</v>
      </c>
      <c r="J589" s="1">
        <v>1</v>
      </c>
      <c r="K589" s="2">
        <v>22271.13</v>
      </c>
      <c r="L589" s="1">
        <v>0</v>
      </c>
      <c r="M589" s="1">
        <v>0.55200000000000005</v>
      </c>
      <c r="N589" s="1">
        <v>3</v>
      </c>
      <c r="O589" s="4" t="s">
        <v>1936</v>
      </c>
    </row>
    <row r="590" spans="1:15" x14ac:dyDescent="0.3">
      <c r="A590" s="1" t="s">
        <v>1193</v>
      </c>
      <c r="B590" s="1" t="s">
        <v>1194</v>
      </c>
      <c r="C590" s="2">
        <v>20178.86</v>
      </c>
      <c r="D590" s="1" t="s">
        <v>17</v>
      </c>
      <c r="E590" s="1" t="s">
        <v>18</v>
      </c>
      <c r="F590" s="1" t="s">
        <v>26</v>
      </c>
      <c r="G590" s="1" t="s">
        <v>31</v>
      </c>
      <c r="H590" s="1">
        <v>211</v>
      </c>
      <c r="I590" s="1">
        <v>5</v>
      </c>
      <c r="J590" s="1">
        <v>1</v>
      </c>
      <c r="K590" s="2">
        <v>8067.55</v>
      </c>
      <c r="L590" s="1">
        <v>0</v>
      </c>
      <c r="M590" s="1">
        <v>0.40400000000000003</v>
      </c>
      <c r="N590" s="1">
        <v>4</v>
      </c>
      <c r="O590" s="4" t="s">
        <v>1936</v>
      </c>
    </row>
    <row r="591" spans="1:15" x14ac:dyDescent="0.3">
      <c r="A591" s="1" t="s">
        <v>1195</v>
      </c>
      <c r="B591" s="1" t="s">
        <v>1196</v>
      </c>
      <c r="C591" s="2">
        <v>8717.5499999999993</v>
      </c>
      <c r="D591" s="1" t="s">
        <v>17</v>
      </c>
      <c r="E591" s="1" t="s">
        <v>39</v>
      </c>
      <c r="F591" s="1" t="s">
        <v>30</v>
      </c>
      <c r="G591" s="1" t="s">
        <v>46</v>
      </c>
      <c r="H591" s="1">
        <v>1566</v>
      </c>
      <c r="I591" s="1">
        <v>21</v>
      </c>
      <c r="J591" s="1">
        <v>4</v>
      </c>
      <c r="K591" s="2">
        <v>26750.400000000001</v>
      </c>
      <c r="L591" s="1">
        <v>0</v>
      </c>
      <c r="M591" s="1">
        <v>0.82399999999999995</v>
      </c>
      <c r="N591" s="1">
        <v>7</v>
      </c>
      <c r="O591" s="4" t="s">
        <v>1936</v>
      </c>
    </row>
    <row r="592" spans="1:15" x14ac:dyDescent="0.3">
      <c r="A592" s="1" t="s">
        <v>1197</v>
      </c>
      <c r="B592" s="1" t="s">
        <v>1198</v>
      </c>
      <c r="C592" s="2">
        <v>43107.62</v>
      </c>
      <c r="D592" s="1" t="s">
        <v>24</v>
      </c>
      <c r="E592" s="1" t="s">
        <v>18</v>
      </c>
      <c r="F592" s="1" t="s">
        <v>26</v>
      </c>
      <c r="G592" s="1" t="s">
        <v>46</v>
      </c>
      <c r="H592" s="1">
        <v>1490</v>
      </c>
      <c r="I592" s="1">
        <v>15</v>
      </c>
      <c r="J592" s="1">
        <v>4</v>
      </c>
      <c r="K592" s="2">
        <v>22732.34</v>
      </c>
      <c r="L592" s="1">
        <v>0</v>
      </c>
      <c r="M592" s="1">
        <v>0.53300000000000003</v>
      </c>
      <c r="N592" s="1">
        <v>7</v>
      </c>
      <c r="O592" s="4" t="s">
        <v>1936</v>
      </c>
    </row>
    <row r="593" spans="1:15" x14ac:dyDescent="0.3">
      <c r="A593" s="1" t="s">
        <v>1199</v>
      </c>
      <c r="B593" s="1" t="s">
        <v>1200</v>
      </c>
      <c r="C593" s="2">
        <v>24378.74</v>
      </c>
      <c r="D593" s="1" t="s">
        <v>51</v>
      </c>
      <c r="E593" s="1" t="s">
        <v>39</v>
      </c>
      <c r="F593" s="1" t="s">
        <v>30</v>
      </c>
      <c r="G593" s="1" t="s">
        <v>20</v>
      </c>
      <c r="H593" s="1">
        <v>454</v>
      </c>
      <c r="I593" s="1">
        <v>19</v>
      </c>
      <c r="J593" s="1">
        <v>4</v>
      </c>
      <c r="K593" s="2">
        <v>7463.56</v>
      </c>
      <c r="L593" s="1">
        <v>0</v>
      </c>
      <c r="M593" s="1">
        <v>0.69499999999999995</v>
      </c>
      <c r="N593" s="1">
        <v>3</v>
      </c>
      <c r="O593" s="4" t="s">
        <v>1936</v>
      </c>
    </row>
    <row r="594" spans="1:15" x14ac:dyDescent="0.3">
      <c r="A594" s="1" t="s">
        <v>1201</v>
      </c>
      <c r="B594" s="1" t="s">
        <v>1202</v>
      </c>
      <c r="C594" s="2">
        <v>6801.56</v>
      </c>
      <c r="D594" s="1" t="s">
        <v>51</v>
      </c>
      <c r="E594" s="1" t="s">
        <v>18</v>
      </c>
      <c r="F594" s="1" t="s">
        <v>19</v>
      </c>
      <c r="G594" s="1" t="s">
        <v>56</v>
      </c>
      <c r="H594" s="1">
        <v>58</v>
      </c>
      <c r="I594" s="1">
        <v>19</v>
      </c>
      <c r="J594" s="1">
        <v>0</v>
      </c>
      <c r="K594" s="2">
        <v>27405.96</v>
      </c>
      <c r="L594" s="1">
        <v>0</v>
      </c>
      <c r="M594" s="1">
        <v>0.70499999999999996</v>
      </c>
      <c r="N594" s="1">
        <v>2</v>
      </c>
      <c r="O594" s="4" t="s">
        <v>1936</v>
      </c>
    </row>
    <row r="595" spans="1:15" x14ac:dyDescent="0.3">
      <c r="A595" s="1" t="s">
        <v>1203</v>
      </c>
      <c r="B595" s="1" t="s">
        <v>1204</v>
      </c>
      <c r="C595" s="2">
        <v>2936.14</v>
      </c>
      <c r="D595" s="1" t="s">
        <v>17</v>
      </c>
      <c r="E595" s="1" t="s">
        <v>18</v>
      </c>
      <c r="F595" s="1" t="s">
        <v>30</v>
      </c>
      <c r="G595" s="1" t="s">
        <v>56</v>
      </c>
      <c r="H595" s="1">
        <v>1571</v>
      </c>
      <c r="I595" s="1">
        <v>10</v>
      </c>
      <c r="J595" s="1">
        <v>0</v>
      </c>
      <c r="K595" s="2">
        <v>19965.48</v>
      </c>
      <c r="L595" s="1">
        <v>0</v>
      </c>
      <c r="M595" s="1">
        <v>0.88200000000000001</v>
      </c>
      <c r="N595" s="1">
        <v>6</v>
      </c>
      <c r="O595" s="4" t="s">
        <v>1936</v>
      </c>
    </row>
    <row r="596" spans="1:15" x14ac:dyDescent="0.3">
      <c r="A596" s="1" t="s">
        <v>1205</v>
      </c>
      <c r="B596" s="1" t="s">
        <v>470</v>
      </c>
      <c r="C596" s="2">
        <v>6113.18</v>
      </c>
      <c r="D596" s="1" t="s">
        <v>24</v>
      </c>
      <c r="E596" s="1" t="s">
        <v>25</v>
      </c>
      <c r="F596" s="1" t="s">
        <v>19</v>
      </c>
      <c r="G596" s="1" t="s">
        <v>20</v>
      </c>
      <c r="H596" s="1">
        <v>426</v>
      </c>
      <c r="I596" s="1">
        <v>9</v>
      </c>
      <c r="J596" s="1">
        <v>1</v>
      </c>
      <c r="K596" s="2">
        <v>16834.37</v>
      </c>
      <c r="L596" s="1">
        <v>0</v>
      </c>
      <c r="M596" s="1">
        <v>0.216</v>
      </c>
      <c r="N596" s="1">
        <v>3</v>
      </c>
      <c r="O596" s="4" t="s">
        <v>1936</v>
      </c>
    </row>
    <row r="597" spans="1:15" x14ac:dyDescent="0.3">
      <c r="A597" s="1" t="s">
        <v>1206</v>
      </c>
      <c r="B597" s="1" t="s">
        <v>1207</v>
      </c>
      <c r="C597" s="2">
        <v>15347.37</v>
      </c>
      <c r="D597" s="1" t="s">
        <v>51</v>
      </c>
      <c r="E597" s="1" t="s">
        <v>39</v>
      </c>
      <c r="F597" s="1" t="s">
        <v>26</v>
      </c>
      <c r="G597" s="1" t="s">
        <v>46</v>
      </c>
      <c r="H597" s="1">
        <v>802</v>
      </c>
      <c r="I597" s="1">
        <v>19</v>
      </c>
      <c r="J597" s="1">
        <v>3</v>
      </c>
      <c r="K597" s="2">
        <v>5256.12</v>
      </c>
      <c r="L597" s="1">
        <v>0</v>
      </c>
      <c r="M597" s="1">
        <v>0.33</v>
      </c>
      <c r="N597" s="1">
        <v>5</v>
      </c>
      <c r="O597" s="4" t="s">
        <v>1936</v>
      </c>
    </row>
    <row r="598" spans="1:15" x14ac:dyDescent="0.3">
      <c r="A598" s="1" t="s">
        <v>1208</v>
      </c>
      <c r="B598" s="1" t="s">
        <v>1209</v>
      </c>
      <c r="C598" s="2">
        <v>31213.599999999999</v>
      </c>
      <c r="D598" s="1" t="s">
        <v>51</v>
      </c>
      <c r="E598" s="1" t="s">
        <v>18</v>
      </c>
      <c r="F598" s="1" t="s">
        <v>19</v>
      </c>
      <c r="G598" s="1" t="s">
        <v>56</v>
      </c>
      <c r="H598" s="1">
        <v>1458</v>
      </c>
      <c r="I598" s="1">
        <v>19</v>
      </c>
      <c r="J598" s="1">
        <v>0</v>
      </c>
      <c r="K598" s="2">
        <v>27033.41</v>
      </c>
      <c r="L598" s="1">
        <v>0</v>
      </c>
      <c r="M598" s="1">
        <v>0.38</v>
      </c>
      <c r="N598" s="1">
        <v>7</v>
      </c>
      <c r="O598" s="4" t="s">
        <v>1936</v>
      </c>
    </row>
    <row r="599" spans="1:15" x14ac:dyDescent="0.3">
      <c r="A599" s="1" t="s">
        <v>1210</v>
      </c>
      <c r="B599" s="1" t="s">
        <v>1211</v>
      </c>
      <c r="C599" s="2">
        <v>13027.67</v>
      </c>
      <c r="D599" s="1" t="s">
        <v>51</v>
      </c>
      <c r="E599" s="1" t="s">
        <v>25</v>
      </c>
      <c r="F599" s="1" t="s">
        <v>19</v>
      </c>
      <c r="G599" s="1" t="s">
        <v>36</v>
      </c>
      <c r="H599" s="1">
        <v>1077</v>
      </c>
      <c r="I599" s="1">
        <v>5</v>
      </c>
      <c r="J599" s="1">
        <v>2</v>
      </c>
      <c r="K599" s="2">
        <v>12807.18</v>
      </c>
      <c r="L599" s="1">
        <v>0</v>
      </c>
      <c r="M599" s="1">
        <v>0.66400000000000003</v>
      </c>
      <c r="N599" s="1">
        <v>5</v>
      </c>
      <c r="O599" s="4" t="s">
        <v>1936</v>
      </c>
    </row>
    <row r="600" spans="1:15" x14ac:dyDescent="0.3">
      <c r="A600" s="1" t="s">
        <v>1212</v>
      </c>
      <c r="B600" s="1" t="s">
        <v>1213</v>
      </c>
      <c r="C600" s="2">
        <v>12098.01</v>
      </c>
      <c r="D600" s="1" t="s">
        <v>17</v>
      </c>
      <c r="E600" s="1" t="s">
        <v>29</v>
      </c>
      <c r="F600" s="1" t="s">
        <v>30</v>
      </c>
      <c r="G600" s="1" t="s">
        <v>20</v>
      </c>
      <c r="H600" s="1">
        <v>473</v>
      </c>
      <c r="I600" s="1">
        <v>22</v>
      </c>
      <c r="J600" s="1">
        <v>1</v>
      </c>
      <c r="K600" s="2">
        <v>8307.91</v>
      </c>
      <c r="L600" s="1">
        <v>0</v>
      </c>
      <c r="M600" s="1">
        <v>0.85399999999999998</v>
      </c>
      <c r="N600" s="1">
        <v>3</v>
      </c>
      <c r="O600" s="4" t="s">
        <v>1936</v>
      </c>
    </row>
    <row r="601" spans="1:15" x14ac:dyDescent="0.3">
      <c r="A601" s="1" t="s">
        <v>1214</v>
      </c>
      <c r="B601" s="1" t="s">
        <v>1215</v>
      </c>
      <c r="C601" s="2">
        <v>22746.15</v>
      </c>
      <c r="D601" s="1" t="s">
        <v>51</v>
      </c>
      <c r="E601" s="1" t="s">
        <v>29</v>
      </c>
      <c r="F601" s="1" t="s">
        <v>30</v>
      </c>
      <c r="G601" s="1" t="s">
        <v>56</v>
      </c>
      <c r="H601" s="1">
        <v>24</v>
      </c>
      <c r="I601" s="1">
        <v>21</v>
      </c>
      <c r="J601" s="1">
        <v>1</v>
      </c>
      <c r="K601" s="2">
        <v>17454.009999999998</v>
      </c>
      <c r="L601" s="1">
        <v>0</v>
      </c>
      <c r="M601" s="1">
        <v>0.79</v>
      </c>
      <c r="N601" s="1">
        <v>7</v>
      </c>
      <c r="O601" s="4" t="s">
        <v>1936</v>
      </c>
    </row>
    <row r="602" spans="1:15" x14ac:dyDescent="0.3">
      <c r="A602" s="1" t="s">
        <v>1216</v>
      </c>
      <c r="B602" s="1" t="s">
        <v>1217</v>
      </c>
      <c r="C602" s="2">
        <v>23827.11</v>
      </c>
      <c r="D602" s="1" t="s">
        <v>51</v>
      </c>
      <c r="E602" s="1" t="s">
        <v>29</v>
      </c>
      <c r="F602" s="1" t="s">
        <v>26</v>
      </c>
      <c r="G602" s="1" t="s">
        <v>31</v>
      </c>
      <c r="H602" s="1">
        <v>1257</v>
      </c>
      <c r="I602" s="1">
        <v>22</v>
      </c>
      <c r="J602" s="1">
        <v>2</v>
      </c>
      <c r="K602" s="2">
        <v>16080.23</v>
      </c>
      <c r="L602" s="1">
        <v>1</v>
      </c>
      <c r="M602" s="1">
        <v>0.875</v>
      </c>
      <c r="N602" s="1">
        <v>4</v>
      </c>
      <c r="O602" s="4" t="s">
        <v>1936</v>
      </c>
    </row>
    <row r="603" spans="1:15" x14ac:dyDescent="0.3">
      <c r="A603" s="1" t="s">
        <v>1218</v>
      </c>
      <c r="B603" s="1" t="s">
        <v>1219</v>
      </c>
      <c r="C603" s="2">
        <v>12770.8</v>
      </c>
      <c r="D603" s="1" t="s">
        <v>51</v>
      </c>
      <c r="E603" s="1" t="s">
        <v>25</v>
      </c>
      <c r="F603" s="1" t="s">
        <v>30</v>
      </c>
      <c r="G603" s="1" t="s">
        <v>20</v>
      </c>
      <c r="H603" s="1">
        <v>776</v>
      </c>
      <c r="I603" s="1">
        <v>11</v>
      </c>
      <c r="J603" s="1">
        <v>2</v>
      </c>
      <c r="K603" s="2">
        <v>20320.84</v>
      </c>
      <c r="L603" s="1">
        <v>0</v>
      </c>
      <c r="M603" s="1">
        <v>0.21299999999999999</v>
      </c>
      <c r="N603" s="1">
        <v>8</v>
      </c>
      <c r="O603" s="4" t="s">
        <v>1936</v>
      </c>
    </row>
    <row r="604" spans="1:15" x14ac:dyDescent="0.3">
      <c r="A604" s="1" t="s">
        <v>1220</v>
      </c>
      <c r="B604" s="1" t="s">
        <v>1221</v>
      </c>
      <c r="C604" s="2">
        <v>23100.799999999999</v>
      </c>
      <c r="D604" s="1" t="s">
        <v>17</v>
      </c>
      <c r="E604" s="1" t="s">
        <v>18</v>
      </c>
      <c r="F604" s="1" t="s">
        <v>30</v>
      </c>
      <c r="G604" s="1" t="s">
        <v>31</v>
      </c>
      <c r="H604" s="1">
        <v>414</v>
      </c>
      <c r="I604" s="1">
        <v>17</v>
      </c>
      <c r="J604" s="1">
        <v>0</v>
      </c>
      <c r="K604" s="2">
        <v>9933.2900000000009</v>
      </c>
      <c r="L604" s="1">
        <v>0</v>
      </c>
      <c r="M604" s="1">
        <v>0.307</v>
      </c>
      <c r="N604" s="1">
        <v>4</v>
      </c>
      <c r="O604" s="4" t="s">
        <v>1936</v>
      </c>
    </row>
    <row r="605" spans="1:15" x14ac:dyDescent="0.3">
      <c r="A605" s="1" t="s">
        <v>1222</v>
      </c>
      <c r="B605" s="1" t="s">
        <v>1223</v>
      </c>
      <c r="C605" s="2">
        <v>32984.730000000003</v>
      </c>
      <c r="D605" s="1" t="s">
        <v>51</v>
      </c>
      <c r="E605" s="1" t="s">
        <v>18</v>
      </c>
      <c r="F605" s="1" t="s">
        <v>30</v>
      </c>
      <c r="G605" s="1" t="s">
        <v>20</v>
      </c>
      <c r="H605" s="1">
        <v>716</v>
      </c>
      <c r="I605" s="1">
        <v>10</v>
      </c>
      <c r="J605" s="1">
        <v>3</v>
      </c>
      <c r="K605" s="2">
        <v>25701.49</v>
      </c>
      <c r="L605" s="1">
        <v>0</v>
      </c>
      <c r="M605" s="1">
        <v>0.995</v>
      </c>
      <c r="N605" s="1">
        <v>7</v>
      </c>
      <c r="O605" s="4" t="s">
        <v>1936</v>
      </c>
    </row>
    <row r="606" spans="1:15" x14ac:dyDescent="0.3">
      <c r="A606" s="1" t="s">
        <v>1224</v>
      </c>
      <c r="B606" s="1" t="s">
        <v>1225</v>
      </c>
      <c r="C606" s="2">
        <v>44761.13</v>
      </c>
      <c r="D606" s="1" t="s">
        <v>17</v>
      </c>
      <c r="E606" s="1" t="s">
        <v>25</v>
      </c>
      <c r="F606" s="1" t="s">
        <v>30</v>
      </c>
      <c r="G606" s="1" t="s">
        <v>36</v>
      </c>
      <c r="H606" s="1">
        <v>938</v>
      </c>
      <c r="I606" s="1">
        <v>4</v>
      </c>
      <c r="J606" s="1">
        <v>1</v>
      </c>
      <c r="K606" s="2">
        <v>11311.06</v>
      </c>
      <c r="L606" s="1">
        <v>0</v>
      </c>
      <c r="M606" s="1">
        <v>0.313</v>
      </c>
      <c r="N606" s="1">
        <v>1</v>
      </c>
      <c r="O606" s="4" t="s">
        <v>1936</v>
      </c>
    </row>
    <row r="607" spans="1:15" x14ac:dyDescent="0.3">
      <c r="A607" s="1" t="s">
        <v>1226</v>
      </c>
      <c r="B607" s="1" t="s">
        <v>1227</v>
      </c>
      <c r="C607" s="2">
        <v>30715.98</v>
      </c>
      <c r="D607" s="1" t="s">
        <v>51</v>
      </c>
      <c r="E607" s="1" t="s">
        <v>39</v>
      </c>
      <c r="F607" s="1" t="s">
        <v>19</v>
      </c>
      <c r="G607" s="1" t="s">
        <v>20</v>
      </c>
      <c r="H607" s="1">
        <v>1436</v>
      </c>
      <c r="I607" s="1">
        <v>6</v>
      </c>
      <c r="J607" s="1">
        <v>1</v>
      </c>
      <c r="K607" s="2">
        <v>6589.22</v>
      </c>
      <c r="L607" s="1">
        <v>0</v>
      </c>
      <c r="M607" s="1">
        <v>0.98399999999999999</v>
      </c>
      <c r="N607" s="1">
        <v>3</v>
      </c>
      <c r="O607" s="4" t="s">
        <v>1936</v>
      </c>
    </row>
    <row r="608" spans="1:15" x14ac:dyDescent="0.3">
      <c r="A608" s="1" t="s">
        <v>1228</v>
      </c>
      <c r="B608" s="1" t="s">
        <v>1229</v>
      </c>
      <c r="C608" s="2">
        <v>38472.699999999997</v>
      </c>
      <c r="D608" s="1" t="s">
        <v>51</v>
      </c>
      <c r="E608" s="1" t="s">
        <v>25</v>
      </c>
      <c r="F608" s="1" t="s">
        <v>30</v>
      </c>
      <c r="G608" s="1" t="s">
        <v>46</v>
      </c>
      <c r="H608" s="1">
        <v>1743</v>
      </c>
      <c r="I608" s="1">
        <v>4</v>
      </c>
      <c r="J608" s="1">
        <v>2</v>
      </c>
      <c r="K608" s="2">
        <v>20919.919999999998</v>
      </c>
      <c r="L608" s="1">
        <v>0</v>
      </c>
      <c r="M608" s="1">
        <v>0.29499999999999998</v>
      </c>
      <c r="N608" s="1">
        <v>5</v>
      </c>
      <c r="O608" s="4" t="s">
        <v>1936</v>
      </c>
    </row>
    <row r="609" spans="1:15" x14ac:dyDescent="0.3">
      <c r="A609" s="1" t="s">
        <v>1230</v>
      </c>
      <c r="B609" s="1" t="s">
        <v>1231</v>
      </c>
      <c r="C609" s="2">
        <v>48426.01</v>
      </c>
      <c r="D609" s="1" t="s">
        <v>24</v>
      </c>
      <c r="E609" s="1" t="s">
        <v>29</v>
      </c>
      <c r="F609" s="1" t="s">
        <v>26</v>
      </c>
      <c r="G609" s="1" t="s">
        <v>56</v>
      </c>
      <c r="H609" s="1">
        <v>1459</v>
      </c>
      <c r="I609" s="1">
        <v>21</v>
      </c>
      <c r="J609" s="1">
        <v>1</v>
      </c>
      <c r="K609" s="2">
        <v>6088.06</v>
      </c>
      <c r="L609" s="1">
        <v>0</v>
      </c>
      <c r="M609" s="1">
        <v>0.49299999999999999</v>
      </c>
      <c r="N609" s="1">
        <v>4</v>
      </c>
      <c r="O609" s="4" t="s">
        <v>1936</v>
      </c>
    </row>
    <row r="610" spans="1:15" x14ac:dyDescent="0.3">
      <c r="A610" s="1" t="s">
        <v>1232</v>
      </c>
      <c r="B610" s="1" t="s">
        <v>1063</v>
      </c>
      <c r="C610" s="2">
        <v>48999.519999999997</v>
      </c>
      <c r="D610" s="1" t="s">
        <v>24</v>
      </c>
      <c r="E610" s="1" t="s">
        <v>18</v>
      </c>
      <c r="F610" s="1" t="s">
        <v>26</v>
      </c>
      <c r="G610" s="1" t="s">
        <v>20</v>
      </c>
      <c r="H610" s="1">
        <v>844</v>
      </c>
      <c r="I610" s="1">
        <v>22</v>
      </c>
      <c r="J610" s="1">
        <v>2</v>
      </c>
      <c r="K610" s="2">
        <v>27016.959999999999</v>
      </c>
      <c r="L610" s="1">
        <v>0</v>
      </c>
      <c r="M610" s="1">
        <v>0.55000000000000004</v>
      </c>
      <c r="N610" s="1">
        <v>4</v>
      </c>
      <c r="O610" s="4" t="s">
        <v>1936</v>
      </c>
    </row>
    <row r="611" spans="1:15" x14ac:dyDescent="0.3">
      <c r="A611" s="1" t="s">
        <v>1233</v>
      </c>
      <c r="B611" s="1" t="s">
        <v>1234</v>
      </c>
      <c r="C611" s="2">
        <v>16946.46</v>
      </c>
      <c r="D611" s="1" t="s">
        <v>51</v>
      </c>
      <c r="E611" s="1" t="s">
        <v>18</v>
      </c>
      <c r="F611" s="1" t="s">
        <v>26</v>
      </c>
      <c r="G611" s="1" t="s">
        <v>20</v>
      </c>
      <c r="H611" s="1">
        <v>275</v>
      </c>
      <c r="I611" s="1">
        <v>6</v>
      </c>
      <c r="J611" s="1">
        <v>1</v>
      </c>
      <c r="K611" s="2">
        <v>7584.47</v>
      </c>
      <c r="L611" s="1">
        <v>0</v>
      </c>
      <c r="M611" s="1">
        <v>0.68300000000000005</v>
      </c>
      <c r="N611" s="1">
        <v>5</v>
      </c>
      <c r="O611" s="4" t="s">
        <v>1936</v>
      </c>
    </row>
    <row r="612" spans="1:15" x14ac:dyDescent="0.3">
      <c r="A612" s="1" t="s">
        <v>1235</v>
      </c>
      <c r="B612" s="1" t="s">
        <v>1236</v>
      </c>
      <c r="C612" s="2">
        <v>47156.639999999999</v>
      </c>
      <c r="D612" s="1" t="s">
        <v>17</v>
      </c>
      <c r="E612" s="1" t="s">
        <v>39</v>
      </c>
      <c r="F612" s="1" t="s">
        <v>30</v>
      </c>
      <c r="G612" s="1" t="s">
        <v>46</v>
      </c>
      <c r="H612" s="1">
        <v>1082</v>
      </c>
      <c r="I612" s="1">
        <v>6</v>
      </c>
      <c r="J612" s="1">
        <v>1</v>
      </c>
      <c r="K612" s="2">
        <v>13608.63</v>
      </c>
      <c r="L612" s="1">
        <v>0</v>
      </c>
      <c r="M612" s="1">
        <v>0.39500000000000002</v>
      </c>
      <c r="N612" s="1">
        <v>4</v>
      </c>
      <c r="O612" s="4" t="s">
        <v>1936</v>
      </c>
    </row>
    <row r="613" spans="1:15" x14ac:dyDescent="0.3">
      <c r="A613" s="1" t="s">
        <v>1237</v>
      </c>
      <c r="B613" s="1" t="s">
        <v>1238</v>
      </c>
      <c r="C613" s="2">
        <v>14331.04</v>
      </c>
      <c r="D613" s="1" t="s">
        <v>51</v>
      </c>
      <c r="E613" s="1" t="s">
        <v>25</v>
      </c>
      <c r="F613" s="1" t="s">
        <v>26</v>
      </c>
      <c r="G613" s="1" t="s">
        <v>46</v>
      </c>
      <c r="H613" s="1">
        <v>1105</v>
      </c>
      <c r="I613" s="1">
        <v>15</v>
      </c>
      <c r="J613" s="1">
        <v>2</v>
      </c>
      <c r="K613" s="2">
        <v>4167.05</v>
      </c>
      <c r="L613" s="1">
        <v>0</v>
      </c>
      <c r="M613" s="1">
        <v>0.46899999999999997</v>
      </c>
      <c r="N613" s="1">
        <v>1</v>
      </c>
      <c r="O613" s="4" t="s">
        <v>1936</v>
      </c>
    </row>
    <row r="614" spans="1:15" x14ac:dyDescent="0.3">
      <c r="A614" s="1" t="s">
        <v>1239</v>
      </c>
      <c r="B614" s="1" t="s">
        <v>1240</v>
      </c>
      <c r="C614" s="2">
        <v>12649.44</v>
      </c>
      <c r="D614" s="1" t="s">
        <v>51</v>
      </c>
      <c r="E614" s="1" t="s">
        <v>25</v>
      </c>
      <c r="F614" s="1" t="s">
        <v>19</v>
      </c>
      <c r="G614" s="1" t="s">
        <v>46</v>
      </c>
      <c r="H614" s="1">
        <v>1005</v>
      </c>
      <c r="I614" s="1">
        <v>19</v>
      </c>
      <c r="J614" s="1">
        <v>4</v>
      </c>
      <c r="K614" s="2">
        <v>14278.75</v>
      </c>
      <c r="L614" s="1">
        <v>0</v>
      </c>
      <c r="M614" s="1">
        <v>0.91600000000000004</v>
      </c>
      <c r="N614" s="1">
        <v>6</v>
      </c>
      <c r="O614" s="4" t="s">
        <v>1936</v>
      </c>
    </row>
    <row r="615" spans="1:15" x14ac:dyDescent="0.3">
      <c r="A615" s="1" t="s">
        <v>1241</v>
      </c>
      <c r="B615" s="1" t="s">
        <v>1242</v>
      </c>
      <c r="C615" s="2">
        <v>32825.279999999999</v>
      </c>
      <c r="D615" s="1" t="s">
        <v>51</v>
      </c>
      <c r="E615" s="1" t="s">
        <v>39</v>
      </c>
      <c r="F615" s="1" t="s">
        <v>19</v>
      </c>
      <c r="G615" s="1" t="s">
        <v>36</v>
      </c>
      <c r="H615" s="1">
        <v>166</v>
      </c>
      <c r="I615" s="1">
        <v>13</v>
      </c>
      <c r="J615" s="1">
        <v>4</v>
      </c>
      <c r="K615" s="2">
        <v>22584.02</v>
      </c>
      <c r="L615" s="1">
        <v>0</v>
      </c>
      <c r="M615" s="1">
        <v>0.44</v>
      </c>
      <c r="N615" s="1">
        <v>7</v>
      </c>
      <c r="O615" s="4" t="s">
        <v>1936</v>
      </c>
    </row>
    <row r="616" spans="1:15" x14ac:dyDescent="0.3">
      <c r="A616" s="1" t="s">
        <v>1243</v>
      </c>
      <c r="B616" s="1" t="s">
        <v>1244</v>
      </c>
      <c r="C616" s="2">
        <v>30818.47</v>
      </c>
      <c r="D616" s="1" t="s">
        <v>24</v>
      </c>
      <c r="E616" s="1" t="s">
        <v>18</v>
      </c>
      <c r="F616" s="1" t="s">
        <v>26</v>
      </c>
      <c r="G616" s="1" t="s">
        <v>46</v>
      </c>
      <c r="H616" s="1">
        <v>491</v>
      </c>
      <c r="I616" s="1">
        <v>19</v>
      </c>
      <c r="J616" s="1">
        <v>0</v>
      </c>
      <c r="K616" s="2">
        <v>5204.1099999999997</v>
      </c>
      <c r="L616" s="1">
        <v>0</v>
      </c>
      <c r="M616" s="1">
        <v>0.377</v>
      </c>
      <c r="N616" s="1">
        <v>2</v>
      </c>
      <c r="O616" s="4" t="s">
        <v>1936</v>
      </c>
    </row>
    <row r="617" spans="1:15" x14ac:dyDescent="0.3">
      <c r="A617" s="1" t="s">
        <v>1245</v>
      </c>
      <c r="B617" s="1" t="s">
        <v>164</v>
      </c>
      <c r="C617" s="2">
        <v>7486.96</v>
      </c>
      <c r="D617" s="1" t="s">
        <v>24</v>
      </c>
      <c r="E617" s="1" t="s">
        <v>29</v>
      </c>
      <c r="F617" s="1" t="s">
        <v>30</v>
      </c>
      <c r="G617" s="1" t="s">
        <v>31</v>
      </c>
      <c r="H617" s="1">
        <v>528</v>
      </c>
      <c r="I617" s="1">
        <v>3</v>
      </c>
      <c r="J617" s="1">
        <v>3</v>
      </c>
      <c r="K617" s="2">
        <v>17518.55</v>
      </c>
      <c r="L617" s="1">
        <v>0</v>
      </c>
      <c r="M617" s="1">
        <v>0.81299999999999994</v>
      </c>
      <c r="N617" s="1">
        <v>9</v>
      </c>
      <c r="O617" s="4" t="s">
        <v>1936</v>
      </c>
    </row>
    <row r="618" spans="1:15" x14ac:dyDescent="0.3">
      <c r="A618" s="1" t="s">
        <v>1246</v>
      </c>
      <c r="B618" s="1" t="s">
        <v>1247</v>
      </c>
      <c r="C618" s="2">
        <v>18447.060000000001</v>
      </c>
      <c r="D618" s="1" t="s">
        <v>17</v>
      </c>
      <c r="E618" s="1" t="s">
        <v>39</v>
      </c>
      <c r="F618" s="1" t="s">
        <v>19</v>
      </c>
      <c r="G618" s="1" t="s">
        <v>46</v>
      </c>
      <c r="H618" s="1">
        <v>1867</v>
      </c>
      <c r="I618" s="1">
        <v>14</v>
      </c>
      <c r="J618" s="1">
        <v>3</v>
      </c>
      <c r="K618" s="2">
        <v>29624.75</v>
      </c>
      <c r="L618" s="1">
        <v>0</v>
      </c>
      <c r="M618" s="1">
        <v>0.96599999999999997</v>
      </c>
      <c r="N618" s="1">
        <v>3</v>
      </c>
      <c r="O618" s="4" t="s">
        <v>1936</v>
      </c>
    </row>
    <row r="619" spans="1:15" x14ac:dyDescent="0.3">
      <c r="A619" s="1" t="s">
        <v>1248</v>
      </c>
      <c r="B619" s="1" t="s">
        <v>1249</v>
      </c>
      <c r="C619" s="2">
        <v>22458.1</v>
      </c>
      <c r="D619" s="1" t="s">
        <v>17</v>
      </c>
      <c r="E619" s="1" t="s">
        <v>18</v>
      </c>
      <c r="F619" s="1" t="s">
        <v>19</v>
      </c>
      <c r="G619" s="1" t="s">
        <v>56</v>
      </c>
      <c r="H619" s="1">
        <v>1069</v>
      </c>
      <c r="I619" s="1">
        <v>4</v>
      </c>
      <c r="J619" s="1">
        <v>0</v>
      </c>
      <c r="K619" s="2">
        <v>17564.09</v>
      </c>
      <c r="L619" s="1">
        <v>0</v>
      </c>
      <c r="M619" s="1">
        <v>0.221</v>
      </c>
      <c r="N619" s="1">
        <v>1</v>
      </c>
      <c r="O619" s="4" t="s">
        <v>1936</v>
      </c>
    </row>
    <row r="620" spans="1:15" x14ac:dyDescent="0.3">
      <c r="A620" s="1" t="s">
        <v>1250</v>
      </c>
      <c r="B620" s="1" t="s">
        <v>1251</v>
      </c>
      <c r="C620" s="2">
        <v>41261.22</v>
      </c>
      <c r="D620" s="1" t="s">
        <v>51</v>
      </c>
      <c r="E620" s="1" t="s">
        <v>39</v>
      </c>
      <c r="F620" s="1" t="s">
        <v>26</v>
      </c>
      <c r="G620" s="1" t="s">
        <v>56</v>
      </c>
      <c r="H620" s="1">
        <v>1213</v>
      </c>
      <c r="I620" s="1">
        <v>3</v>
      </c>
      <c r="J620" s="1">
        <v>4</v>
      </c>
      <c r="K620" s="2">
        <v>6720.39</v>
      </c>
      <c r="L620" s="1">
        <v>0</v>
      </c>
      <c r="M620" s="1">
        <v>0.92300000000000004</v>
      </c>
      <c r="N620" s="1">
        <v>4</v>
      </c>
      <c r="O620" s="4" t="s">
        <v>1936</v>
      </c>
    </row>
    <row r="621" spans="1:15" x14ac:dyDescent="0.3">
      <c r="A621" s="1" t="s">
        <v>1252</v>
      </c>
      <c r="B621" s="1" t="s">
        <v>1253</v>
      </c>
      <c r="C621" s="2">
        <v>24937.87</v>
      </c>
      <c r="D621" s="1" t="s">
        <v>17</v>
      </c>
      <c r="E621" s="1" t="s">
        <v>29</v>
      </c>
      <c r="F621" s="1" t="s">
        <v>30</v>
      </c>
      <c r="G621" s="1" t="s">
        <v>46</v>
      </c>
      <c r="H621" s="1">
        <v>967</v>
      </c>
      <c r="I621" s="1">
        <v>4</v>
      </c>
      <c r="J621" s="1">
        <v>2</v>
      </c>
      <c r="K621" s="2">
        <v>27905.75</v>
      </c>
      <c r="L621" s="1">
        <v>0</v>
      </c>
      <c r="M621" s="1">
        <v>0.38100000000000001</v>
      </c>
      <c r="N621" s="1">
        <v>7</v>
      </c>
      <c r="O621" s="4" t="s">
        <v>1936</v>
      </c>
    </row>
    <row r="622" spans="1:15" x14ac:dyDescent="0.3">
      <c r="A622" s="1" t="s">
        <v>1254</v>
      </c>
      <c r="B622" s="1" t="s">
        <v>1255</v>
      </c>
      <c r="C622" s="2">
        <v>12514.83</v>
      </c>
      <c r="D622" s="1" t="s">
        <v>51</v>
      </c>
      <c r="E622" s="1" t="s">
        <v>39</v>
      </c>
      <c r="F622" s="1" t="s">
        <v>30</v>
      </c>
      <c r="G622" s="1" t="s">
        <v>36</v>
      </c>
      <c r="H622" s="1">
        <v>1945</v>
      </c>
      <c r="I622" s="1">
        <v>13</v>
      </c>
      <c r="J622" s="1">
        <v>4</v>
      </c>
      <c r="K622" s="2">
        <v>18480.04</v>
      </c>
      <c r="L622" s="1">
        <v>0</v>
      </c>
      <c r="M622" s="1">
        <v>0.54</v>
      </c>
      <c r="N622" s="1">
        <v>2</v>
      </c>
      <c r="O622" s="4" t="s">
        <v>1936</v>
      </c>
    </row>
    <row r="623" spans="1:15" x14ac:dyDescent="0.3">
      <c r="A623" s="1" t="s">
        <v>1256</v>
      </c>
      <c r="B623" s="1" t="s">
        <v>1257</v>
      </c>
      <c r="C623" s="2">
        <v>38846.69</v>
      </c>
      <c r="D623" s="1" t="s">
        <v>24</v>
      </c>
      <c r="E623" s="1" t="s">
        <v>39</v>
      </c>
      <c r="F623" s="1" t="s">
        <v>30</v>
      </c>
      <c r="G623" s="1" t="s">
        <v>31</v>
      </c>
      <c r="H623" s="1">
        <v>1610</v>
      </c>
      <c r="I623" s="1">
        <v>2</v>
      </c>
      <c r="J623" s="1">
        <v>2</v>
      </c>
      <c r="K623" s="2">
        <v>2163.67</v>
      </c>
      <c r="L623" s="1">
        <v>0</v>
      </c>
      <c r="M623" s="1">
        <v>0.19400000000000001</v>
      </c>
      <c r="N623" s="1">
        <v>6</v>
      </c>
      <c r="O623" s="4" t="s">
        <v>1936</v>
      </c>
    </row>
    <row r="624" spans="1:15" x14ac:dyDescent="0.3">
      <c r="A624" s="1" t="s">
        <v>1258</v>
      </c>
      <c r="B624" s="1" t="s">
        <v>1259</v>
      </c>
      <c r="C624" s="2">
        <v>20584.23</v>
      </c>
      <c r="D624" s="1" t="s">
        <v>24</v>
      </c>
      <c r="E624" s="1" t="s">
        <v>18</v>
      </c>
      <c r="F624" s="1" t="s">
        <v>30</v>
      </c>
      <c r="G624" s="1" t="s">
        <v>36</v>
      </c>
      <c r="H624" s="1">
        <v>1643</v>
      </c>
      <c r="I624" s="1">
        <v>2</v>
      </c>
      <c r="J624" s="1">
        <v>4</v>
      </c>
      <c r="K624" s="2">
        <v>16019.39</v>
      </c>
      <c r="L624" s="1">
        <v>0</v>
      </c>
      <c r="M624" s="1">
        <v>0.60899999999999999</v>
      </c>
      <c r="N624" s="1">
        <v>8</v>
      </c>
      <c r="O624" s="4" t="s">
        <v>1936</v>
      </c>
    </row>
    <row r="625" spans="1:15" x14ac:dyDescent="0.3">
      <c r="A625" s="1" t="s">
        <v>1260</v>
      </c>
      <c r="B625" s="1" t="s">
        <v>1130</v>
      </c>
      <c r="C625" s="2">
        <v>48171.55</v>
      </c>
      <c r="D625" s="1" t="s">
        <v>24</v>
      </c>
      <c r="E625" s="1" t="s">
        <v>18</v>
      </c>
      <c r="F625" s="1" t="s">
        <v>26</v>
      </c>
      <c r="G625" s="1" t="s">
        <v>20</v>
      </c>
      <c r="H625" s="1">
        <v>152</v>
      </c>
      <c r="I625" s="1">
        <v>8</v>
      </c>
      <c r="J625" s="1">
        <v>3</v>
      </c>
      <c r="K625" s="2">
        <v>2121.88</v>
      </c>
      <c r="L625" s="1">
        <v>0</v>
      </c>
      <c r="M625" s="1">
        <v>3.0000000000000001E-3</v>
      </c>
      <c r="N625" s="1">
        <v>9</v>
      </c>
      <c r="O625" s="4" t="s">
        <v>1936</v>
      </c>
    </row>
    <row r="626" spans="1:15" x14ac:dyDescent="0.3">
      <c r="A626" s="1" t="s">
        <v>1261</v>
      </c>
      <c r="B626" s="1" t="s">
        <v>1262</v>
      </c>
      <c r="C626" s="2">
        <v>2660.28</v>
      </c>
      <c r="D626" s="1" t="s">
        <v>17</v>
      </c>
      <c r="E626" s="1" t="s">
        <v>29</v>
      </c>
      <c r="F626" s="1" t="s">
        <v>26</v>
      </c>
      <c r="G626" s="1" t="s">
        <v>20</v>
      </c>
      <c r="H626" s="1">
        <v>63</v>
      </c>
      <c r="I626" s="1">
        <v>4</v>
      </c>
      <c r="J626" s="1">
        <v>2</v>
      </c>
      <c r="K626" s="2">
        <v>25695.19</v>
      </c>
      <c r="L626" s="1">
        <v>0</v>
      </c>
      <c r="M626" s="1">
        <v>0.16900000000000001</v>
      </c>
      <c r="N626" s="1">
        <v>6</v>
      </c>
      <c r="O626" s="4" t="s">
        <v>1936</v>
      </c>
    </row>
    <row r="627" spans="1:15" x14ac:dyDescent="0.3">
      <c r="A627" s="1" t="s">
        <v>1263</v>
      </c>
      <c r="B627" s="1" t="s">
        <v>1264</v>
      </c>
      <c r="C627" s="2">
        <v>17507.84</v>
      </c>
      <c r="D627" s="1" t="s">
        <v>24</v>
      </c>
      <c r="E627" s="1" t="s">
        <v>25</v>
      </c>
      <c r="F627" s="1" t="s">
        <v>26</v>
      </c>
      <c r="G627" s="1" t="s">
        <v>36</v>
      </c>
      <c r="H627" s="1">
        <v>850</v>
      </c>
      <c r="I627" s="1">
        <v>1</v>
      </c>
      <c r="J627" s="1">
        <v>3</v>
      </c>
      <c r="K627" s="2">
        <v>8328.8799999999992</v>
      </c>
      <c r="L627" s="1">
        <v>0</v>
      </c>
      <c r="M627" s="1">
        <v>0.80300000000000005</v>
      </c>
      <c r="N627" s="1">
        <v>2</v>
      </c>
      <c r="O627" s="4" t="s">
        <v>1936</v>
      </c>
    </row>
    <row r="628" spans="1:15" x14ac:dyDescent="0.3">
      <c r="A628" s="1" t="s">
        <v>1265</v>
      </c>
      <c r="B628" s="1" t="s">
        <v>1266</v>
      </c>
      <c r="C628" s="2">
        <v>35406.36</v>
      </c>
      <c r="D628" s="1" t="s">
        <v>24</v>
      </c>
      <c r="E628" s="1" t="s">
        <v>18</v>
      </c>
      <c r="F628" s="1" t="s">
        <v>26</v>
      </c>
      <c r="G628" s="1" t="s">
        <v>56</v>
      </c>
      <c r="H628" s="1">
        <v>1261</v>
      </c>
      <c r="I628" s="1">
        <v>3</v>
      </c>
      <c r="J628" s="1">
        <v>4</v>
      </c>
      <c r="K628" s="2">
        <v>26019.54</v>
      </c>
      <c r="L628" s="1">
        <v>0</v>
      </c>
      <c r="M628" s="1">
        <v>0.34300000000000003</v>
      </c>
      <c r="N628" s="1">
        <v>6</v>
      </c>
      <c r="O628" s="4" t="s">
        <v>1936</v>
      </c>
    </row>
    <row r="629" spans="1:15" x14ac:dyDescent="0.3">
      <c r="A629" s="1" t="s">
        <v>1267</v>
      </c>
      <c r="B629" s="1" t="s">
        <v>1268</v>
      </c>
      <c r="C629" s="2">
        <v>24260.58</v>
      </c>
      <c r="D629" s="1" t="s">
        <v>51</v>
      </c>
      <c r="E629" s="1" t="s">
        <v>25</v>
      </c>
      <c r="F629" s="1" t="s">
        <v>30</v>
      </c>
      <c r="G629" s="1" t="s">
        <v>20</v>
      </c>
      <c r="H629" s="1">
        <v>1793</v>
      </c>
      <c r="I629" s="1">
        <v>4</v>
      </c>
      <c r="J629" s="1">
        <v>3</v>
      </c>
      <c r="K629" s="2">
        <v>21019.19</v>
      </c>
      <c r="L629" s="1">
        <v>0</v>
      </c>
      <c r="M629" s="1">
        <v>0.51</v>
      </c>
      <c r="N629" s="1">
        <v>5</v>
      </c>
      <c r="O629" s="4" t="s">
        <v>1936</v>
      </c>
    </row>
    <row r="630" spans="1:15" x14ac:dyDescent="0.3">
      <c r="A630" s="1" t="s">
        <v>1269</v>
      </c>
      <c r="B630" s="1" t="s">
        <v>1270</v>
      </c>
      <c r="C630" s="2">
        <v>16544.240000000002</v>
      </c>
      <c r="D630" s="1" t="s">
        <v>17</v>
      </c>
      <c r="E630" s="1" t="s">
        <v>29</v>
      </c>
      <c r="F630" s="1" t="s">
        <v>30</v>
      </c>
      <c r="G630" s="1" t="s">
        <v>36</v>
      </c>
      <c r="H630" s="1">
        <v>853</v>
      </c>
      <c r="I630" s="1">
        <v>19</v>
      </c>
      <c r="J630" s="1">
        <v>3</v>
      </c>
      <c r="K630" s="2">
        <v>27289.040000000001</v>
      </c>
      <c r="L630" s="1">
        <v>0</v>
      </c>
      <c r="M630" s="1">
        <v>0.62</v>
      </c>
      <c r="N630" s="1">
        <v>5</v>
      </c>
      <c r="O630" s="4" t="s">
        <v>1936</v>
      </c>
    </row>
    <row r="631" spans="1:15" x14ac:dyDescent="0.3">
      <c r="A631" s="1" t="s">
        <v>1271</v>
      </c>
      <c r="B631" s="1" t="s">
        <v>1272</v>
      </c>
      <c r="C631" s="2">
        <v>3306.97</v>
      </c>
      <c r="D631" s="1" t="s">
        <v>24</v>
      </c>
      <c r="E631" s="1" t="s">
        <v>39</v>
      </c>
      <c r="F631" s="1" t="s">
        <v>26</v>
      </c>
      <c r="G631" s="1" t="s">
        <v>20</v>
      </c>
      <c r="H631" s="1">
        <v>446</v>
      </c>
      <c r="I631" s="1">
        <v>3</v>
      </c>
      <c r="J631" s="1">
        <v>4</v>
      </c>
      <c r="K631" s="2">
        <v>11115.02</v>
      </c>
      <c r="L631" s="1">
        <v>1</v>
      </c>
      <c r="M631" s="1">
        <v>0.72099999999999997</v>
      </c>
      <c r="N631" s="1">
        <v>7</v>
      </c>
      <c r="O631" s="4" t="s">
        <v>1936</v>
      </c>
    </row>
    <row r="632" spans="1:15" x14ac:dyDescent="0.3">
      <c r="A632" s="1" t="s">
        <v>1273</v>
      </c>
      <c r="B632" s="1" t="s">
        <v>1274</v>
      </c>
      <c r="C632" s="2">
        <v>4219.03</v>
      </c>
      <c r="D632" s="1" t="s">
        <v>24</v>
      </c>
      <c r="E632" s="1" t="s">
        <v>18</v>
      </c>
      <c r="F632" s="1" t="s">
        <v>30</v>
      </c>
      <c r="G632" s="1" t="s">
        <v>36</v>
      </c>
      <c r="H632" s="1">
        <v>1597</v>
      </c>
      <c r="I632" s="1">
        <v>15</v>
      </c>
      <c r="J632" s="1">
        <v>4</v>
      </c>
      <c r="K632" s="2">
        <v>7634.27</v>
      </c>
      <c r="L632" s="1">
        <v>0</v>
      </c>
      <c r="M632" s="1">
        <v>0.89300000000000002</v>
      </c>
      <c r="N632" s="1">
        <v>1</v>
      </c>
      <c r="O632" s="4" t="s">
        <v>1936</v>
      </c>
    </row>
    <row r="633" spans="1:15" x14ac:dyDescent="0.3">
      <c r="A633" s="1" t="s">
        <v>1275</v>
      </c>
      <c r="B633" s="1" t="s">
        <v>1276</v>
      </c>
      <c r="C633" s="2">
        <v>5076.84</v>
      </c>
      <c r="D633" s="1" t="s">
        <v>51</v>
      </c>
      <c r="E633" s="1" t="s">
        <v>18</v>
      </c>
      <c r="F633" s="1" t="s">
        <v>19</v>
      </c>
      <c r="G633" s="1" t="s">
        <v>46</v>
      </c>
      <c r="H633" s="1">
        <v>953</v>
      </c>
      <c r="I633" s="1">
        <v>14</v>
      </c>
      <c r="J633" s="1">
        <v>3</v>
      </c>
      <c r="K633" s="2">
        <v>21387.57</v>
      </c>
      <c r="L633" s="1">
        <v>0</v>
      </c>
      <c r="M633" s="1">
        <v>0.69399999999999995</v>
      </c>
      <c r="N633" s="1">
        <v>7</v>
      </c>
      <c r="O633" s="4" t="s">
        <v>1936</v>
      </c>
    </row>
    <row r="634" spans="1:15" x14ac:dyDescent="0.3">
      <c r="A634" s="1" t="s">
        <v>1277</v>
      </c>
      <c r="B634" s="1" t="s">
        <v>1278</v>
      </c>
      <c r="C634" s="2">
        <v>7141.5</v>
      </c>
      <c r="D634" s="1" t="s">
        <v>17</v>
      </c>
      <c r="E634" s="1" t="s">
        <v>18</v>
      </c>
      <c r="F634" s="1" t="s">
        <v>19</v>
      </c>
      <c r="G634" s="1" t="s">
        <v>20</v>
      </c>
      <c r="H634" s="1">
        <v>242</v>
      </c>
      <c r="I634" s="1">
        <v>10</v>
      </c>
      <c r="J634" s="1">
        <v>4</v>
      </c>
      <c r="K634" s="2">
        <v>5253.1</v>
      </c>
      <c r="L634" s="1">
        <v>0</v>
      </c>
      <c r="M634" s="1">
        <v>0.60599999999999998</v>
      </c>
      <c r="N634" s="1">
        <v>7</v>
      </c>
      <c r="O634" s="4" t="s">
        <v>1936</v>
      </c>
    </row>
    <row r="635" spans="1:15" x14ac:dyDescent="0.3">
      <c r="A635" s="1" t="s">
        <v>1279</v>
      </c>
      <c r="B635" s="1" t="s">
        <v>1280</v>
      </c>
      <c r="C635" s="2">
        <v>23590.79</v>
      </c>
      <c r="D635" s="1" t="s">
        <v>24</v>
      </c>
      <c r="E635" s="1" t="s">
        <v>25</v>
      </c>
      <c r="F635" s="1" t="s">
        <v>30</v>
      </c>
      <c r="G635" s="1" t="s">
        <v>56</v>
      </c>
      <c r="H635" s="1">
        <v>1981</v>
      </c>
      <c r="I635" s="1">
        <v>14</v>
      </c>
      <c r="J635" s="1">
        <v>1</v>
      </c>
      <c r="K635" s="2">
        <v>6286.42</v>
      </c>
      <c r="L635" s="1">
        <v>0</v>
      </c>
      <c r="M635" s="1">
        <v>0.22700000000000001</v>
      </c>
      <c r="N635" s="1">
        <v>8</v>
      </c>
      <c r="O635" s="4" t="s">
        <v>1936</v>
      </c>
    </row>
    <row r="636" spans="1:15" x14ac:dyDescent="0.3">
      <c r="A636" s="1" t="s">
        <v>1281</v>
      </c>
      <c r="B636" s="1" t="s">
        <v>1282</v>
      </c>
      <c r="C636" s="2">
        <v>42794.080000000002</v>
      </c>
      <c r="D636" s="1" t="s">
        <v>17</v>
      </c>
      <c r="E636" s="1" t="s">
        <v>39</v>
      </c>
      <c r="F636" s="1" t="s">
        <v>19</v>
      </c>
      <c r="G636" s="1" t="s">
        <v>56</v>
      </c>
      <c r="H636" s="1">
        <v>1854</v>
      </c>
      <c r="I636" s="1">
        <v>18</v>
      </c>
      <c r="J636" s="1">
        <v>2</v>
      </c>
      <c r="K636" s="2">
        <v>16752.169999999998</v>
      </c>
      <c r="L636" s="1">
        <v>0</v>
      </c>
      <c r="M636" s="1">
        <v>0.497</v>
      </c>
      <c r="N636" s="1">
        <v>6</v>
      </c>
      <c r="O636" s="4" t="s">
        <v>1936</v>
      </c>
    </row>
    <row r="637" spans="1:15" x14ac:dyDescent="0.3">
      <c r="A637" s="1" t="s">
        <v>1283</v>
      </c>
      <c r="B637" s="1" t="s">
        <v>1284</v>
      </c>
      <c r="C637" s="2">
        <v>45364.39</v>
      </c>
      <c r="D637" s="1" t="s">
        <v>51</v>
      </c>
      <c r="E637" s="1" t="s">
        <v>29</v>
      </c>
      <c r="F637" s="1" t="s">
        <v>26</v>
      </c>
      <c r="G637" s="1" t="s">
        <v>36</v>
      </c>
      <c r="H637" s="1">
        <v>1216</v>
      </c>
      <c r="I637" s="1">
        <v>22</v>
      </c>
      <c r="J637" s="1">
        <v>3</v>
      </c>
      <c r="K637" s="2">
        <v>16859.240000000002</v>
      </c>
      <c r="L637" s="1">
        <v>0</v>
      </c>
      <c r="M637" s="1">
        <v>0.89500000000000002</v>
      </c>
      <c r="N637" s="1">
        <v>5</v>
      </c>
      <c r="O637" s="4" t="s">
        <v>1936</v>
      </c>
    </row>
    <row r="638" spans="1:15" x14ac:dyDescent="0.3">
      <c r="A638" s="1" t="s">
        <v>1285</v>
      </c>
      <c r="B638" s="1" t="s">
        <v>866</v>
      </c>
      <c r="C638" s="2">
        <v>14646.3</v>
      </c>
      <c r="D638" s="1" t="s">
        <v>17</v>
      </c>
      <c r="E638" s="1" t="s">
        <v>29</v>
      </c>
      <c r="F638" s="1" t="s">
        <v>26</v>
      </c>
      <c r="G638" s="1" t="s">
        <v>56</v>
      </c>
      <c r="H638" s="1">
        <v>20</v>
      </c>
      <c r="I638" s="1">
        <v>10</v>
      </c>
      <c r="J638" s="1">
        <v>4</v>
      </c>
      <c r="K638" s="2">
        <v>9852.2900000000009</v>
      </c>
      <c r="L638" s="1">
        <v>0</v>
      </c>
      <c r="M638" s="1">
        <v>0.71</v>
      </c>
      <c r="N638" s="1">
        <v>2</v>
      </c>
      <c r="O638" s="4" t="s">
        <v>1936</v>
      </c>
    </row>
    <row r="639" spans="1:15" x14ac:dyDescent="0.3">
      <c r="A639" s="1" t="s">
        <v>1286</v>
      </c>
      <c r="B639" s="1" t="s">
        <v>1287</v>
      </c>
      <c r="C639" s="2">
        <v>48142.38</v>
      </c>
      <c r="D639" s="1" t="s">
        <v>51</v>
      </c>
      <c r="E639" s="1" t="s">
        <v>39</v>
      </c>
      <c r="F639" s="1" t="s">
        <v>19</v>
      </c>
      <c r="G639" s="1" t="s">
        <v>56</v>
      </c>
      <c r="H639" s="1">
        <v>1639</v>
      </c>
      <c r="I639" s="1">
        <v>6</v>
      </c>
      <c r="J639" s="1">
        <v>3</v>
      </c>
      <c r="K639" s="2">
        <v>21466.79</v>
      </c>
      <c r="L639" s="1">
        <v>0</v>
      </c>
      <c r="M639" s="1">
        <v>0.54600000000000004</v>
      </c>
      <c r="N639" s="1">
        <v>6</v>
      </c>
      <c r="O639" s="4" t="s">
        <v>1936</v>
      </c>
    </row>
    <row r="640" spans="1:15" x14ac:dyDescent="0.3">
      <c r="A640" s="1" t="s">
        <v>1288</v>
      </c>
      <c r="B640" s="1" t="s">
        <v>1289</v>
      </c>
      <c r="C640" s="2">
        <v>29605.27</v>
      </c>
      <c r="D640" s="1" t="s">
        <v>51</v>
      </c>
      <c r="E640" s="1" t="s">
        <v>25</v>
      </c>
      <c r="F640" s="1" t="s">
        <v>26</v>
      </c>
      <c r="G640" s="1" t="s">
        <v>20</v>
      </c>
      <c r="H640" s="1">
        <v>1738</v>
      </c>
      <c r="I640" s="1">
        <v>11</v>
      </c>
      <c r="J640" s="1">
        <v>0</v>
      </c>
      <c r="K640" s="2">
        <v>1467.67</v>
      </c>
      <c r="L640" s="1">
        <v>0</v>
      </c>
      <c r="M640" s="1">
        <v>0.27300000000000002</v>
      </c>
      <c r="N640" s="1">
        <v>9</v>
      </c>
      <c r="O640" s="4" t="s">
        <v>1936</v>
      </c>
    </row>
    <row r="641" spans="1:15" x14ac:dyDescent="0.3">
      <c r="A641" s="1" t="s">
        <v>1290</v>
      </c>
      <c r="B641" s="1" t="s">
        <v>1291</v>
      </c>
      <c r="C641" s="2">
        <v>14709.77</v>
      </c>
      <c r="D641" s="1" t="s">
        <v>17</v>
      </c>
      <c r="E641" s="1" t="s">
        <v>29</v>
      </c>
      <c r="F641" s="1" t="s">
        <v>30</v>
      </c>
      <c r="G641" s="1" t="s">
        <v>20</v>
      </c>
      <c r="H641" s="1">
        <v>1106</v>
      </c>
      <c r="I641" s="1">
        <v>9</v>
      </c>
      <c r="J641" s="1">
        <v>0</v>
      </c>
      <c r="K641" s="2">
        <v>28962</v>
      </c>
      <c r="L641" s="1">
        <v>0</v>
      </c>
      <c r="M641" s="1">
        <v>0.27100000000000002</v>
      </c>
      <c r="N641" s="1">
        <v>5</v>
      </c>
      <c r="O641" s="4" t="s">
        <v>1936</v>
      </c>
    </row>
    <row r="642" spans="1:15" x14ac:dyDescent="0.3">
      <c r="A642" s="1" t="s">
        <v>1292</v>
      </c>
      <c r="B642" s="1" t="s">
        <v>1293</v>
      </c>
      <c r="C642" s="2">
        <v>17293.900000000001</v>
      </c>
      <c r="D642" s="1" t="s">
        <v>17</v>
      </c>
      <c r="E642" s="1" t="s">
        <v>25</v>
      </c>
      <c r="F642" s="1" t="s">
        <v>30</v>
      </c>
      <c r="G642" s="1" t="s">
        <v>20</v>
      </c>
      <c r="H642" s="1">
        <v>804</v>
      </c>
      <c r="I642" s="1">
        <v>10</v>
      </c>
      <c r="J642" s="1">
        <v>2</v>
      </c>
      <c r="K642" s="2">
        <v>16979.12</v>
      </c>
      <c r="L642" s="1">
        <v>0</v>
      </c>
      <c r="M642" s="1">
        <v>0.54</v>
      </c>
      <c r="N642" s="1">
        <v>6</v>
      </c>
      <c r="O642" s="4" t="s">
        <v>1936</v>
      </c>
    </row>
    <row r="643" spans="1:15" x14ac:dyDescent="0.3">
      <c r="A643" s="1" t="s">
        <v>1294</v>
      </c>
      <c r="B643" s="1" t="s">
        <v>1295</v>
      </c>
      <c r="C643" s="2">
        <v>33445.199999999997</v>
      </c>
      <c r="D643" s="1" t="s">
        <v>17</v>
      </c>
      <c r="E643" s="1" t="s">
        <v>39</v>
      </c>
      <c r="F643" s="1" t="s">
        <v>30</v>
      </c>
      <c r="G643" s="1" t="s">
        <v>20</v>
      </c>
      <c r="H643" s="1">
        <v>1572</v>
      </c>
      <c r="I643" s="1">
        <v>17</v>
      </c>
      <c r="J643" s="1">
        <v>0</v>
      </c>
      <c r="K643" s="2">
        <v>11418.19</v>
      </c>
      <c r="L643" s="1">
        <v>0</v>
      </c>
      <c r="M643" s="1">
        <v>0.503</v>
      </c>
      <c r="N643" s="1">
        <v>8</v>
      </c>
      <c r="O643" s="4" t="s">
        <v>1936</v>
      </c>
    </row>
    <row r="644" spans="1:15" x14ac:dyDescent="0.3">
      <c r="A644" s="1" t="s">
        <v>1296</v>
      </c>
      <c r="B644" s="1" t="s">
        <v>1297</v>
      </c>
      <c r="C644" s="2">
        <v>36472.22</v>
      </c>
      <c r="D644" s="1" t="s">
        <v>51</v>
      </c>
      <c r="E644" s="1" t="s">
        <v>39</v>
      </c>
      <c r="F644" s="1" t="s">
        <v>26</v>
      </c>
      <c r="G644" s="1" t="s">
        <v>46</v>
      </c>
      <c r="H644" s="1">
        <v>833</v>
      </c>
      <c r="I644" s="1">
        <v>9</v>
      </c>
      <c r="J644" s="1">
        <v>3</v>
      </c>
      <c r="K644" s="2">
        <v>26827.94</v>
      </c>
      <c r="L644" s="1">
        <v>0</v>
      </c>
      <c r="M644" s="1">
        <v>0.90100000000000002</v>
      </c>
      <c r="N644" s="1">
        <v>2</v>
      </c>
      <c r="O644" s="4" t="s">
        <v>1936</v>
      </c>
    </row>
    <row r="645" spans="1:15" x14ac:dyDescent="0.3">
      <c r="A645" s="1" t="s">
        <v>1298</v>
      </c>
      <c r="B645" s="1" t="s">
        <v>1299</v>
      </c>
      <c r="C645" s="2">
        <v>1596.24</v>
      </c>
      <c r="D645" s="1" t="s">
        <v>24</v>
      </c>
      <c r="E645" s="1" t="s">
        <v>25</v>
      </c>
      <c r="F645" s="1" t="s">
        <v>26</v>
      </c>
      <c r="G645" s="1" t="s">
        <v>31</v>
      </c>
      <c r="H645" s="1">
        <v>1360</v>
      </c>
      <c r="I645" s="1">
        <v>5</v>
      </c>
      <c r="J645" s="1">
        <v>4</v>
      </c>
      <c r="K645" s="2">
        <v>20898.32</v>
      </c>
      <c r="L645" s="1">
        <v>0</v>
      </c>
      <c r="M645" s="1">
        <v>0.52600000000000002</v>
      </c>
      <c r="N645" s="1">
        <v>1</v>
      </c>
      <c r="O645" s="4" t="s">
        <v>1936</v>
      </c>
    </row>
    <row r="646" spans="1:15" x14ac:dyDescent="0.3">
      <c r="A646" s="1" t="s">
        <v>1300</v>
      </c>
      <c r="B646" s="1" t="s">
        <v>1301</v>
      </c>
      <c r="C646" s="2">
        <v>13003.78</v>
      </c>
      <c r="D646" s="1" t="s">
        <v>17</v>
      </c>
      <c r="E646" s="1" t="s">
        <v>29</v>
      </c>
      <c r="F646" s="1" t="s">
        <v>30</v>
      </c>
      <c r="G646" s="1" t="s">
        <v>56</v>
      </c>
      <c r="H646" s="1">
        <v>1924</v>
      </c>
      <c r="I646" s="1">
        <v>7</v>
      </c>
      <c r="J646" s="1">
        <v>0</v>
      </c>
      <c r="K646" s="2">
        <v>835.99</v>
      </c>
      <c r="L646" s="1">
        <v>0</v>
      </c>
      <c r="M646" s="1">
        <v>0.96699999999999997</v>
      </c>
      <c r="N646" s="1">
        <v>1</v>
      </c>
      <c r="O646" s="4" t="s">
        <v>1936</v>
      </c>
    </row>
    <row r="647" spans="1:15" x14ac:dyDescent="0.3">
      <c r="A647" s="1" t="s">
        <v>1302</v>
      </c>
      <c r="B647" s="1" t="s">
        <v>1303</v>
      </c>
      <c r="C647" s="2">
        <v>13548.87</v>
      </c>
      <c r="D647" s="1" t="s">
        <v>51</v>
      </c>
      <c r="E647" s="1" t="s">
        <v>29</v>
      </c>
      <c r="F647" s="1" t="s">
        <v>26</v>
      </c>
      <c r="G647" s="1" t="s">
        <v>36</v>
      </c>
      <c r="H647" s="1">
        <v>477</v>
      </c>
      <c r="I647" s="1">
        <v>18</v>
      </c>
      <c r="J647" s="1">
        <v>1</v>
      </c>
      <c r="K647" s="2">
        <v>7418.36</v>
      </c>
      <c r="L647" s="1">
        <v>0</v>
      </c>
      <c r="M647" s="1">
        <v>7.0000000000000001E-3</v>
      </c>
      <c r="N647" s="1">
        <v>4</v>
      </c>
      <c r="O647" s="4" t="s">
        <v>1936</v>
      </c>
    </row>
    <row r="648" spans="1:15" x14ac:dyDescent="0.3">
      <c r="A648" s="1" t="s">
        <v>1304</v>
      </c>
      <c r="B648" s="1" t="s">
        <v>1305</v>
      </c>
      <c r="C648" s="2">
        <v>31330.400000000001</v>
      </c>
      <c r="D648" s="1" t="s">
        <v>51</v>
      </c>
      <c r="E648" s="1" t="s">
        <v>29</v>
      </c>
      <c r="F648" s="1" t="s">
        <v>26</v>
      </c>
      <c r="G648" s="1" t="s">
        <v>36</v>
      </c>
      <c r="H648" s="1">
        <v>377</v>
      </c>
      <c r="I648" s="1">
        <v>1</v>
      </c>
      <c r="J648" s="1">
        <v>0</v>
      </c>
      <c r="K648" s="2">
        <v>24134.46</v>
      </c>
      <c r="L648" s="1">
        <v>0</v>
      </c>
      <c r="M648" s="1">
        <v>0.14399999999999999</v>
      </c>
      <c r="N648" s="1">
        <v>9</v>
      </c>
      <c r="O648" s="4" t="s">
        <v>1936</v>
      </c>
    </row>
    <row r="649" spans="1:15" x14ac:dyDescent="0.3">
      <c r="A649" s="1" t="s">
        <v>1306</v>
      </c>
      <c r="B649" s="1" t="s">
        <v>1307</v>
      </c>
      <c r="C649" s="2">
        <v>34641.99</v>
      </c>
      <c r="D649" s="1" t="s">
        <v>51</v>
      </c>
      <c r="E649" s="1" t="s">
        <v>25</v>
      </c>
      <c r="F649" s="1" t="s">
        <v>30</v>
      </c>
      <c r="G649" s="1" t="s">
        <v>56</v>
      </c>
      <c r="H649" s="1">
        <v>481</v>
      </c>
      <c r="I649" s="1">
        <v>3</v>
      </c>
      <c r="J649" s="1">
        <v>4</v>
      </c>
      <c r="K649" s="2">
        <v>18580.37</v>
      </c>
      <c r="L649" s="1">
        <v>0</v>
      </c>
      <c r="M649" s="1">
        <v>0.38700000000000001</v>
      </c>
      <c r="N649" s="1">
        <v>1</v>
      </c>
      <c r="O649" s="4" t="s">
        <v>1936</v>
      </c>
    </row>
    <row r="650" spans="1:15" x14ac:dyDescent="0.3">
      <c r="A650" s="1" t="s">
        <v>1308</v>
      </c>
      <c r="B650" s="1" t="s">
        <v>1309</v>
      </c>
      <c r="C650" s="2">
        <v>15004.81</v>
      </c>
      <c r="D650" s="1" t="s">
        <v>17</v>
      </c>
      <c r="E650" s="1" t="s">
        <v>18</v>
      </c>
      <c r="F650" s="1" t="s">
        <v>19</v>
      </c>
      <c r="G650" s="1" t="s">
        <v>31</v>
      </c>
      <c r="H650" s="1">
        <v>1448</v>
      </c>
      <c r="I650" s="1">
        <v>0</v>
      </c>
      <c r="J650" s="1">
        <v>2</v>
      </c>
      <c r="K650" s="2">
        <v>25371.77</v>
      </c>
      <c r="L650" s="1">
        <v>0</v>
      </c>
      <c r="M650" s="1">
        <v>0.64400000000000002</v>
      </c>
      <c r="N650" s="1">
        <v>6</v>
      </c>
      <c r="O650" s="4" t="s">
        <v>1936</v>
      </c>
    </row>
    <row r="651" spans="1:15" x14ac:dyDescent="0.3">
      <c r="A651" s="1" t="s">
        <v>1310</v>
      </c>
      <c r="B651" s="1" t="s">
        <v>1311</v>
      </c>
      <c r="C651" s="2">
        <v>49891.15</v>
      </c>
      <c r="D651" s="1" t="s">
        <v>17</v>
      </c>
      <c r="E651" s="1" t="s">
        <v>39</v>
      </c>
      <c r="F651" s="1" t="s">
        <v>30</v>
      </c>
      <c r="G651" s="1" t="s">
        <v>46</v>
      </c>
      <c r="H651" s="1">
        <v>1675</v>
      </c>
      <c r="I651" s="1">
        <v>2</v>
      </c>
      <c r="J651" s="1">
        <v>0</v>
      </c>
      <c r="K651" s="2">
        <v>9528.0400000000009</v>
      </c>
      <c r="L651" s="1">
        <v>0</v>
      </c>
      <c r="M651" s="1">
        <v>0.81299999999999994</v>
      </c>
      <c r="N651" s="1">
        <v>9</v>
      </c>
      <c r="O651" s="4" t="s">
        <v>1936</v>
      </c>
    </row>
    <row r="652" spans="1:15" x14ac:dyDescent="0.3">
      <c r="A652" s="1" t="s">
        <v>1312</v>
      </c>
      <c r="B652" s="1" t="s">
        <v>1313</v>
      </c>
      <c r="C652" s="2">
        <v>17473.59</v>
      </c>
      <c r="D652" s="1" t="s">
        <v>24</v>
      </c>
      <c r="E652" s="1" t="s">
        <v>25</v>
      </c>
      <c r="F652" s="1" t="s">
        <v>19</v>
      </c>
      <c r="G652" s="1" t="s">
        <v>31</v>
      </c>
      <c r="H652" s="1">
        <v>1827</v>
      </c>
      <c r="I652" s="1">
        <v>1</v>
      </c>
      <c r="J652" s="1">
        <v>0</v>
      </c>
      <c r="K652" s="2">
        <v>20869.95</v>
      </c>
      <c r="L652" s="1">
        <v>0</v>
      </c>
      <c r="M652" s="1">
        <v>0.78600000000000003</v>
      </c>
      <c r="N652" s="1">
        <v>1</v>
      </c>
      <c r="O652" s="4" t="s">
        <v>1936</v>
      </c>
    </row>
    <row r="653" spans="1:15" x14ac:dyDescent="0.3">
      <c r="A653" s="1" t="s">
        <v>1314</v>
      </c>
      <c r="B653" s="1" t="s">
        <v>1315</v>
      </c>
      <c r="C653" s="2">
        <v>48950.11</v>
      </c>
      <c r="D653" s="1" t="s">
        <v>17</v>
      </c>
      <c r="E653" s="1" t="s">
        <v>29</v>
      </c>
      <c r="F653" s="1" t="s">
        <v>26</v>
      </c>
      <c r="G653" s="1" t="s">
        <v>56</v>
      </c>
      <c r="H653" s="1">
        <v>1863</v>
      </c>
      <c r="I653" s="1">
        <v>13</v>
      </c>
      <c r="J653" s="1">
        <v>2</v>
      </c>
      <c r="K653" s="2">
        <v>27843.86</v>
      </c>
      <c r="L653" s="1">
        <v>0</v>
      </c>
      <c r="M653" s="1">
        <v>0.50800000000000001</v>
      </c>
      <c r="N653" s="1">
        <v>6</v>
      </c>
      <c r="O653" s="4" t="s">
        <v>1936</v>
      </c>
    </row>
    <row r="654" spans="1:15" x14ac:dyDescent="0.3">
      <c r="A654" s="1" t="s">
        <v>1316</v>
      </c>
      <c r="B654" s="1" t="s">
        <v>1317</v>
      </c>
      <c r="C654" s="2">
        <v>27647.42</v>
      </c>
      <c r="D654" s="1" t="s">
        <v>17</v>
      </c>
      <c r="E654" s="1" t="s">
        <v>18</v>
      </c>
      <c r="F654" s="1" t="s">
        <v>19</v>
      </c>
      <c r="G654" s="1" t="s">
        <v>20</v>
      </c>
      <c r="H654" s="1">
        <v>1786</v>
      </c>
      <c r="I654" s="1">
        <v>23</v>
      </c>
      <c r="J654" s="1">
        <v>2</v>
      </c>
      <c r="K654" s="2">
        <v>10228.68</v>
      </c>
      <c r="L654" s="1">
        <v>0</v>
      </c>
      <c r="M654" s="1">
        <v>0.192</v>
      </c>
      <c r="N654" s="1">
        <v>7</v>
      </c>
      <c r="O654" s="4" t="s">
        <v>1936</v>
      </c>
    </row>
    <row r="655" spans="1:15" x14ac:dyDescent="0.3">
      <c r="A655" s="1" t="s">
        <v>1318</v>
      </c>
      <c r="B655" s="1" t="s">
        <v>1319</v>
      </c>
      <c r="C655" s="2">
        <v>2763.89</v>
      </c>
      <c r="D655" s="1" t="s">
        <v>17</v>
      </c>
      <c r="E655" s="1" t="s">
        <v>29</v>
      </c>
      <c r="F655" s="1" t="s">
        <v>19</v>
      </c>
      <c r="G655" s="1" t="s">
        <v>31</v>
      </c>
      <c r="H655" s="1">
        <v>94</v>
      </c>
      <c r="I655" s="1">
        <v>0</v>
      </c>
      <c r="J655" s="1">
        <v>0</v>
      </c>
      <c r="K655" s="2">
        <v>9938.64</v>
      </c>
      <c r="L655" s="1">
        <v>0</v>
      </c>
      <c r="M655" s="1">
        <v>0.27200000000000002</v>
      </c>
      <c r="N655" s="1">
        <v>1</v>
      </c>
      <c r="O655" s="4" t="s">
        <v>1936</v>
      </c>
    </row>
    <row r="656" spans="1:15" x14ac:dyDescent="0.3">
      <c r="A656" s="1" t="s">
        <v>1320</v>
      </c>
      <c r="B656" s="1" t="s">
        <v>1321</v>
      </c>
      <c r="C656" s="2">
        <v>22912.1</v>
      </c>
      <c r="D656" s="1" t="s">
        <v>24</v>
      </c>
      <c r="E656" s="1" t="s">
        <v>29</v>
      </c>
      <c r="F656" s="1" t="s">
        <v>19</v>
      </c>
      <c r="G656" s="1" t="s">
        <v>36</v>
      </c>
      <c r="H656" s="1">
        <v>1890</v>
      </c>
      <c r="I656" s="1">
        <v>13</v>
      </c>
      <c r="J656" s="1">
        <v>0</v>
      </c>
      <c r="K656" s="2">
        <v>1816.46</v>
      </c>
      <c r="L656" s="1">
        <v>0</v>
      </c>
      <c r="M656" s="1">
        <v>0.96599999999999997</v>
      </c>
      <c r="N656" s="1">
        <v>9</v>
      </c>
      <c r="O656" s="4" t="s">
        <v>1936</v>
      </c>
    </row>
    <row r="657" spans="1:15" x14ac:dyDescent="0.3">
      <c r="A657" s="1" t="s">
        <v>1322</v>
      </c>
      <c r="B657" s="1" t="s">
        <v>1323</v>
      </c>
      <c r="C657" s="2">
        <v>20854.400000000001</v>
      </c>
      <c r="D657" s="1" t="s">
        <v>24</v>
      </c>
      <c r="E657" s="1" t="s">
        <v>18</v>
      </c>
      <c r="F657" s="1" t="s">
        <v>19</v>
      </c>
      <c r="G657" s="1" t="s">
        <v>20</v>
      </c>
      <c r="H657" s="1">
        <v>161</v>
      </c>
      <c r="I657" s="1">
        <v>11</v>
      </c>
      <c r="J657" s="1">
        <v>3</v>
      </c>
      <c r="K657" s="2">
        <v>28258.67</v>
      </c>
      <c r="L657" s="1">
        <v>0</v>
      </c>
      <c r="M657" s="1">
        <v>0.73699999999999999</v>
      </c>
      <c r="N657" s="1">
        <v>5</v>
      </c>
      <c r="O657" s="4" t="s">
        <v>1936</v>
      </c>
    </row>
    <row r="658" spans="1:15" x14ac:dyDescent="0.3">
      <c r="A658" s="1" t="s">
        <v>1324</v>
      </c>
      <c r="B658" s="1" t="s">
        <v>1325</v>
      </c>
      <c r="C658" s="2">
        <v>30407.22</v>
      </c>
      <c r="D658" s="1" t="s">
        <v>24</v>
      </c>
      <c r="E658" s="1" t="s">
        <v>25</v>
      </c>
      <c r="F658" s="1" t="s">
        <v>30</v>
      </c>
      <c r="G658" s="1" t="s">
        <v>36</v>
      </c>
      <c r="H658" s="1">
        <v>1210</v>
      </c>
      <c r="I658" s="1">
        <v>22</v>
      </c>
      <c r="J658" s="1">
        <v>2</v>
      </c>
      <c r="K658" s="2">
        <v>15208.23</v>
      </c>
      <c r="L658" s="1">
        <v>0</v>
      </c>
      <c r="M658" s="1">
        <v>0.19700000000000001</v>
      </c>
      <c r="N658" s="1">
        <v>5</v>
      </c>
      <c r="O658" s="4" t="s">
        <v>1936</v>
      </c>
    </row>
    <row r="659" spans="1:15" x14ac:dyDescent="0.3">
      <c r="A659" s="1" t="s">
        <v>1326</v>
      </c>
      <c r="B659" s="1" t="s">
        <v>1327</v>
      </c>
      <c r="C659" s="2">
        <v>18420.91</v>
      </c>
      <c r="D659" s="1" t="s">
        <v>24</v>
      </c>
      <c r="E659" s="1" t="s">
        <v>18</v>
      </c>
      <c r="F659" s="1" t="s">
        <v>30</v>
      </c>
      <c r="G659" s="1" t="s">
        <v>46</v>
      </c>
      <c r="H659" s="1">
        <v>564</v>
      </c>
      <c r="I659" s="1">
        <v>0</v>
      </c>
      <c r="J659" s="1">
        <v>2</v>
      </c>
      <c r="K659" s="2">
        <v>10568.15</v>
      </c>
      <c r="L659" s="1">
        <v>0</v>
      </c>
      <c r="M659" s="1">
        <v>0.20499999999999999</v>
      </c>
      <c r="N659" s="1">
        <v>6</v>
      </c>
      <c r="O659" s="4" t="s">
        <v>1936</v>
      </c>
    </row>
    <row r="660" spans="1:15" x14ac:dyDescent="0.3">
      <c r="A660" s="1" t="s">
        <v>1328</v>
      </c>
      <c r="B660" s="1" t="s">
        <v>1329</v>
      </c>
      <c r="C660" s="2">
        <v>16900.41</v>
      </c>
      <c r="D660" s="1" t="s">
        <v>24</v>
      </c>
      <c r="E660" s="1" t="s">
        <v>18</v>
      </c>
      <c r="F660" s="1" t="s">
        <v>30</v>
      </c>
      <c r="G660" s="1" t="s">
        <v>46</v>
      </c>
      <c r="H660" s="1">
        <v>1313</v>
      </c>
      <c r="I660" s="1">
        <v>11</v>
      </c>
      <c r="J660" s="1">
        <v>0</v>
      </c>
      <c r="K660" s="2">
        <v>25075.85</v>
      </c>
      <c r="L660" s="1">
        <v>0</v>
      </c>
      <c r="M660" s="1">
        <v>0.106</v>
      </c>
      <c r="N660" s="1">
        <v>8</v>
      </c>
      <c r="O660" s="4" t="s">
        <v>1936</v>
      </c>
    </row>
    <row r="661" spans="1:15" x14ac:dyDescent="0.3">
      <c r="A661" s="1" t="s">
        <v>1330</v>
      </c>
      <c r="B661" s="1" t="s">
        <v>1331</v>
      </c>
      <c r="C661" s="2">
        <v>29776.83</v>
      </c>
      <c r="D661" s="1" t="s">
        <v>51</v>
      </c>
      <c r="E661" s="1" t="s">
        <v>29</v>
      </c>
      <c r="F661" s="1" t="s">
        <v>19</v>
      </c>
      <c r="G661" s="1" t="s">
        <v>56</v>
      </c>
      <c r="H661" s="1">
        <v>1835</v>
      </c>
      <c r="I661" s="1">
        <v>16</v>
      </c>
      <c r="J661" s="1">
        <v>4</v>
      </c>
      <c r="K661" s="2">
        <v>14941.03</v>
      </c>
      <c r="L661" s="1">
        <v>0</v>
      </c>
      <c r="M661" s="1">
        <v>0.91900000000000004</v>
      </c>
      <c r="N661" s="1">
        <v>2</v>
      </c>
      <c r="O661" s="4" t="s">
        <v>1936</v>
      </c>
    </row>
    <row r="662" spans="1:15" x14ac:dyDescent="0.3">
      <c r="A662" s="1" t="s">
        <v>1332</v>
      </c>
      <c r="B662" s="1" t="s">
        <v>1333</v>
      </c>
      <c r="C662" s="2">
        <v>2939.33</v>
      </c>
      <c r="D662" s="1" t="s">
        <v>24</v>
      </c>
      <c r="E662" s="1" t="s">
        <v>39</v>
      </c>
      <c r="F662" s="1" t="s">
        <v>26</v>
      </c>
      <c r="G662" s="1" t="s">
        <v>36</v>
      </c>
      <c r="H662" s="1">
        <v>1333</v>
      </c>
      <c r="I662" s="1">
        <v>16</v>
      </c>
      <c r="J662" s="1">
        <v>4</v>
      </c>
      <c r="K662" s="2">
        <v>20177.41</v>
      </c>
      <c r="L662" s="1">
        <v>0</v>
      </c>
      <c r="M662" s="1">
        <v>0.34799999999999998</v>
      </c>
      <c r="N662" s="1">
        <v>8</v>
      </c>
      <c r="O662" s="4" t="s">
        <v>1936</v>
      </c>
    </row>
    <row r="663" spans="1:15" x14ac:dyDescent="0.3">
      <c r="A663" s="1" t="s">
        <v>1334</v>
      </c>
      <c r="B663" s="1" t="s">
        <v>1335</v>
      </c>
      <c r="C663" s="2">
        <v>45878.42</v>
      </c>
      <c r="D663" s="1" t="s">
        <v>17</v>
      </c>
      <c r="E663" s="1" t="s">
        <v>29</v>
      </c>
      <c r="F663" s="1" t="s">
        <v>30</v>
      </c>
      <c r="G663" s="1" t="s">
        <v>36</v>
      </c>
      <c r="H663" s="1">
        <v>1698</v>
      </c>
      <c r="I663" s="1">
        <v>6</v>
      </c>
      <c r="J663" s="1">
        <v>4</v>
      </c>
      <c r="K663" s="2">
        <v>7173.28</v>
      </c>
      <c r="L663" s="1">
        <v>0</v>
      </c>
      <c r="M663" s="1">
        <v>0.93899999999999995</v>
      </c>
      <c r="N663" s="1">
        <v>1</v>
      </c>
      <c r="O663" s="4" t="s">
        <v>1936</v>
      </c>
    </row>
    <row r="664" spans="1:15" x14ac:dyDescent="0.3">
      <c r="A664" s="1" t="s">
        <v>1336</v>
      </c>
      <c r="B664" s="1" t="s">
        <v>476</v>
      </c>
      <c r="C664" s="2">
        <v>33997.040000000001</v>
      </c>
      <c r="D664" s="1" t="s">
        <v>17</v>
      </c>
      <c r="E664" s="1" t="s">
        <v>25</v>
      </c>
      <c r="F664" s="1" t="s">
        <v>30</v>
      </c>
      <c r="G664" s="1" t="s">
        <v>31</v>
      </c>
      <c r="H664" s="1">
        <v>1830</v>
      </c>
      <c r="I664" s="1">
        <v>1</v>
      </c>
      <c r="J664" s="1">
        <v>4</v>
      </c>
      <c r="K664" s="2">
        <v>24564.61</v>
      </c>
      <c r="L664" s="1">
        <v>0</v>
      </c>
      <c r="M664" s="1">
        <v>0.88400000000000001</v>
      </c>
      <c r="N664" s="1">
        <v>7</v>
      </c>
      <c r="O664" s="4" t="s">
        <v>1936</v>
      </c>
    </row>
    <row r="665" spans="1:15" x14ac:dyDescent="0.3">
      <c r="A665" s="1" t="s">
        <v>1337</v>
      </c>
      <c r="B665" s="1" t="s">
        <v>1338</v>
      </c>
      <c r="C665" s="2">
        <v>49060.57</v>
      </c>
      <c r="D665" s="1" t="s">
        <v>51</v>
      </c>
      <c r="E665" s="1" t="s">
        <v>18</v>
      </c>
      <c r="F665" s="1" t="s">
        <v>30</v>
      </c>
      <c r="G665" s="1" t="s">
        <v>36</v>
      </c>
      <c r="H665" s="1">
        <v>1860</v>
      </c>
      <c r="I665" s="1">
        <v>11</v>
      </c>
      <c r="J665" s="1">
        <v>3</v>
      </c>
      <c r="K665" s="2">
        <v>5691.28</v>
      </c>
      <c r="L665" s="1">
        <v>0</v>
      </c>
      <c r="M665" s="1">
        <v>0.38600000000000001</v>
      </c>
      <c r="N665" s="1">
        <v>8</v>
      </c>
      <c r="O665" s="4" t="s">
        <v>1936</v>
      </c>
    </row>
    <row r="666" spans="1:15" x14ac:dyDescent="0.3">
      <c r="A666" s="1" t="s">
        <v>1339</v>
      </c>
      <c r="B666" s="1" t="s">
        <v>1340</v>
      </c>
      <c r="C666" s="2">
        <v>12136.76</v>
      </c>
      <c r="D666" s="1" t="s">
        <v>51</v>
      </c>
      <c r="E666" s="1" t="s">
        <v>39</v>
      </c>
      <c r="F666" s="1" t="s">
        <v>19</v>
      </c>
      <c r="G666" s="1" t="s">
        <v>46</v>
      </c>
      <c r="H666" s="1">
        <v>221</v>
      </c>
      <c r="I666" s="1">
        <v>9</v>
      </c>
      <c r="J666" s="1">
        <v>0</v>
      </c>
      <c r="K666" s="2">
        <v>15046.83</v>
      </c>
      <c r="L666" s="1">
        <v>0</v>
      </c>
      <c r="M666" s="1">
        <v>0.97</v>
      </c>
      <c r="N666" s="1">
        <v>5</v>
      </c>
      <c r="O666" s="4" t="s">
        <v>1936</v>
      </c>
    </row>
    <row r="667" spans="1:15" x14ac:dyDescent="0.3">
      <c r="A667" s="1" t="s">
        <v>1341</v>
      </c>
      <c r="B667" s="1" t="s">
        <v>1342</v>
      </c>
      <c r="C667" s="2">
        <v>9886.44</v>
      </c>
      <c r="D667" s="1" t="s">
        <v>51</v>
      </c>
      <c r="E667" s="1" t="s">
        <v>25</v>
      </c>
      <c r="F667" s="1" t="s">
        <v>30</v>
      </c>
      <c r="G667" s="1" t="s">
        <v>31</v>
      </c>
      <c r="H667" s="1">
        <v>860</v>
      </c>
      <c r="I667" s="1">
        <v>4</v>
      </c>
      <c r="J667" s="1">
        <v>2</v>
      </c>
      <c r="K667" s="2">
        <v>16044.65</v>
      </c>
      <c r="L667" s="1">
        <v>0</v>
      </c>
      <c r="M667" s="1">
        <v>0.222</v>
      </c>
      <c r="N667" s="1">
        <v>2</v>
      </c>
      <c r="O667" s="4" t="s">
        <v>1936</v>
      </c>
    </row>
    <row r="668" spans="1:15" x14ac:dyDescent="0.3">
      <c r="A668" s="1" t="s">
        <v>1343</v>
      </c>
      <c r="B668" s="1" t="s">
        <v>1344</v>
      </c>
      <c r="C668" s="2">
        <v>47573.919999999998</v>
      </c>
      <c r="D668" s="1" t="s">
        <v>51</v>
      </c>
      <c r="E668" s="1" t="s">
        <v>29</v>
      </c>
      <c r="F668" s="1" t="s">
        <v>26</v>
      </c>
      <c r="G668" s="1" t="s">
        <v>31</v>
      </c>
      <c r="H668" s="1">
        <v>887</v>
      </c>
      <c r="I668" s="1">
        <v>2</v>
      </c>
      <c r="J668" s="1">
        <v>4</v>
      </c>
      <c r="K668" s="2">
        <v>13400.15</v>
      </c>
      <c r="L668" s="1">
        <v>0</v>
      </c>
      <c r="M668" s="1">
        <v>0.63400000000000001</v>
      </c>
      <c r="N668" s="1">
        <v>3</v>
      </c>
      <c r="O668" s="4" t="s">
        <v>1936</v>
      </c>
    </row>
    <row r="669" spans="1:15" x14ac:dyDescent="0.3">
      <c r="A669" s="1" t="s">
        <v>1345</v>
      </c>
      <c r="B669" s="1" t="s">
        <v>1346</v>
      </c>
      <c r="C669" s="2">
        <v>47187.89</v>
      </c>
      <c r="D669" s="1" t="s">
        <v>24</v>
      </c>
      <c r="E669" s="1" t="s">
        <v>25</v>
      </c>
      <c r="F669" s="1" t="s">
        <v>19</v>
      </c>
      <c r="G669" s="1" t="s">
        <v>31</v>
      </c>
      <c r="H669" s="1">
        <v>1576</v>
      </c>
      <c r="I669" s="1">
        <v>20</v>
      </c>
      <c r="J669" s="1">
        <v>4</v>
      </c>
      <c r="K669" s="2">
        <v>28645.06</v>
      </c>
      <c r="L669" s="1">
        <v>0</v>
      </c>
      <c r="M669" s="1">
        <v>0.876</v>
      </c>
      <c r="N669" s="1">
        <v>4</v>
      </c>
      <c r="O669" s="4" t="s">
        <v>1936</v>
      </c>
    </row>
    <row r="670" spans="1:15" x14ac:dyDescent="0.3">
      <c r="A670" s="1" t="s">
        <v>1347</v>
      </c>
      <c r="B670" s="1" t="s">
        <v>1348</v>
      </c>
      <c r="C670" s="2">
        <v>31736.47</v>
      </c>
      <c r="D670" s="1" t="s">
        <v>51</v>
      </c>
      <c r="E670" s="1" t="s">
        <v>18</v>
      </c>
      <c r="F670" s="1" t="s">
        <v>19</v>
      </c>
      <c r="G670" s="1" t="s">
        <v>20</v>
      </c>
      <c r="H670" s="1">
        <v>1224</v>
      </c>
      <c r="I670" s="1">
        <v>15</v>
      </c>
      <c r="J670" s="1">
        <v>0</v>
      </c>
      <c r="K670" s="2">
        <v>29782.45</v>
      </c>
      <c r="L670" s="1">
        <v>0</v>
      </c>
      <c r="M670" s="1">
        <v>0.622</v>
      </c>
      <c r="N670" s="1">
        <v>9</v>
      </c>
      <c r="O670" s="4" t="s">
        <v>1936</v>
      </c>
    </row>
    <row r="671" spans="1:15" x14ac:dyDescent="0.3">
      <c r="A671" s="1" t="s">
        <v>1349</v>
      </c>
      <c r="B671" s="1" t="s">
        <v>1350</v>
      </c>
      <c r="C671" s="2">
        <v>25322.6</v>
      </c>
      <c r="D671" s="1" t="s">
        <v>24</v>
      </c>
      <c r="E671" s="1" t="s">
        <v>18</v>
      </c>
      <c r="F671" s="1" t="s">
        <v>30</v>
      </c>
      <c r="G671" s="1" t="s">
        <v>36</v>
      </c>
      <c r="H671" s="1">
        <v>887</v>
      </c>
      <c r="I671" s="1">
        <v>21</v>
      </c>
      <c r="J671" s="1">
        <v>3</v>
      </c>
      <c r="K671" s="2">
        <v>22093.75</v>
      </c>
      <c r="L671" s="1">
        <v>0</v>
      </c>
      <c r="M671" s="1">
        <v>0.90400000000000003</v>
      </c>
      <c r="N671" s="1">
        <v>3</v>
      </c>
      <c r="O671" s="4" t="s">
        <v>1936</v>
      </c>
    </row>
    <row r="672" spans="1:15" x14ac:dyDescent="0.3">
      <c r="A672" s="1" t="s">
        <v>1351</v>
      </c>
      <c r="B672" s="1" t="s">
        <v>1352</v>
      </c>
      <c r="C672" s="2">
        <v>1994.55</v>
      </c>
      <c r="D672" s="1" t="s">
        <v>24</v>
      </c>
      <c r="E672" s="1" t="s">
        <v>18</v>
      </c>
      <c r="F672" s="1" t="s">
        <v>30</v>
      </c>
      <c r="G672" s="1" t="s">
        <v>36</v>
      </c>
      <c r="H672" s="1">
        <v>1596</v>
      </c>
      <c r="I672" s="1">
        <v>21</v>
      </c>
      <c r="J672" s="1">
        <v>0</v>
      </c>
      <c r="K672" s="2">
        <v>1127.6099999999999</v>
      </c>
      <c r="L672" s="1">
        <v>0</v>
      </c>
      <c r="M672" s="1">
        <v>0.66100000000000003</v>
      </c>
      <c r="N672" s="1">
        <v>6</v>
      </c>
      <c r="O672" s="4" t="s">
        <v>1936</v>
      </c>
    </row>
    <row r="673" spans="1:15" x14ac:dyDescent="0.3">
      <c r="A673" s="1" t="s">
        <v>1353</v>
      </c>
      <c r="B673" s="1" t="s">
        <v>858</v>
      </c>
      <c r="C673" s="2">
        <v>42758.76</v>
      </c>
      <c r="D673" s="1" t="s">
        <v>17</v>
      </c>
      <c r="E673" s="1" t="s">
        <v>25</v>
      </c>
      <c r="F673" s="1" t="s">
        <v>30</v>
      </c>
      <c r="G673" s="1" t="s">
        <v>46</v>
      </c>
      <c r="H673" s="1">
        <v>1861</v>
      </c>
      <c r="I673" s="1">
        <v>12</v>
      </c>
      <c r="J673" s="1">
        <v>1</v>
      </c>
      <c r="K673" s="2">
        <v>24393.91</v>
      </c>
      <c r="L673" s="1">
        <v>0</v>
      </c>
      <c r="M673" s="1">
        <v>0.371</v>
      </c>
      <c r="N673" s="1">
        <v>2</v>
      </c>
      <c r="O673" s="4" t="s">
        <v>1936</v>
      </c>
    </row>
    <row r="674" spans="1:15" x14ac:dyDescent="0.3">
      <c r="A674" s="1" t="s">
        <v>1354</v>
      </c>
      <c r="B674" s="1" t="s">
        <v>1355</v>
      </c>
      <c r="C674" s="2">
        <v>36480.769999999997</v>
      </c>
      <c r="D674" s="1" t="s">
        <v>17</v>
      </c>
      <c r="E674" s="1" t="s">
        <v>25</v>
      </c>
      <c r="F674" s="1" t="s">
        <v>19</v>
      </c>
      <c r="G674" s="1" t="s">
        <v>56</v>
      </c>
      <c r="H674" s="1">
        <v>1111</v>
      </c>
      <c r="I674" s="1">
        <v>2</v>
      </c>
      <c r="J674" s="1">
        <v>3</v>
      </c>
      <c r="K674" s="2">
        <v>14496.41</v>
      </c>
      <c r="L674" s="1">
        <v>0</v>
      </c>
      <c r="M674" s="1">
        <v>0.39700000000000002</v>
      </c>
      <c r="N674" s="1">
        <v>4</v>
      </c>
      <c r="O674" s="4" t="s">
        <v>1936</v>
      </c>
    </row>
    <row r="675" spans="1:15" x14ac:dyDescent="0.3">
      <c r="A675" s="1" t="s">
        <v>1356</v>
      </c>
      <c r="B675" s="1" t="s">
        <v>1357</v>
      </c>
      <c r="C675" s="2">
        <v>29552.36</v>
      </c>
      <c r="D675" s="1" t="s">
        <v>24</v>
      </c>
      <c r="E675" s="1" t="s">
        <v>25</v>
      </c>
      <c r="F675" s="1" t="s">
        <v>30</v>
      </c>
      <c r="G675" s="1" t="s">
        <v>56</v>
      </c>
      <c r="H675" s="1">
        <v>1830</v>
      </c>
      <c r="I675" s="1">
        <v>7</v>
      </c>
      <c r="J675" s="1">
        <v>0</v>
      </c>
      <c r="K675" s="2">
        <v>3631.79</v>
      </c>
      <c r="L675" s="1">
        <v>0</v>
      </c>
      <c r="M675" s="1">
        <v>0.89500000000000002</v>
      </c>
      <c r="N675" s="1">
        <v>8</v>
      </c>
      <c r="O675" s="4" t="s">
        <v>1936</v>
      </c>
    </row>
    <row r="676" spans="1:15" x14ac:dyDescent="0.3">
      <c r="A676" s="1" t="s">
        <v>1358</v>
      </c>
      <c r="B676" s="1" t="s">
        <v>1359</v>
      </c>
      <c r="C676" s="2">
        <v>5170.67</v>
      </c>
      <c r="D676" s="1" t="s">
        <v>51</v>
      </c>
      <c r="E676" s="1" t="s">
        <v>29</v>
      </c>
      <c r="F676" s="1" t="s">
        <v>19</v>
      </c>
      <c r="G676" s="1" t="s">
        <v>56</v>
      </c>
      <c r="H676" s="1">
        <v>662</v>
      </c>
      <c r="I676" s="1">
        <v>14</v>
      </c>
      <c r="J676" s="1">
        <v>0</v>
      </c>
      <c r="K676" s="2">
        <v>4236.3500000000004</v>
      </c>
      <c r="L676" s="1">
        <v>0</v>
      </c>
      <c r="M676" s="1">
        <v>0.874</v>
      </c>
      <c r="N676" s="1">
        <v>3</v>
      </c>
      <c r="O676" s="4" t="s">
        <v>1936</v>
      </c>
    </row>
    <row r="677" spans="1:15" x14ac:dyDescent="0.3">
      <c r="A677" s="1" t="s">
        <v>1360</v>
      </c>
      <c r="B677" s="1" t="s">
        <v>1361</v>
      </c>
      <c r="C677" s="2">
        <v>35936.769999999997</v>
      </c>
      <c r="D677" s="1" t="s">
        <v>24</v>
      </c>
      <c r="E677" s="1" t="s">
        <v>18</v>
      </c>
      <c r="F677" s="1" t="s">
        <v>30</v>
      </c>
      <c r="G677" s="1" t="s">
        <v>20</v>
      </c>
      <c r="H677" s="1">
        <v>316</v>
      </c>
      <c r="I677" s="1">
        <v>14</v>
      </c>
      <c r="J677" s="1">
        <v>4</v>
      </c>
      <c r="K677" s="2">
        <v>24828.36</v>
      </c>
      <c r="L677" s="1">
        <v>0</v>
      </c>
      <c r="M677" s="1">
        <v>0.59499999999999997</v>
      </c>
      <c r="N677" s="1">
        <v>2</v>
      </c>
      <c r="O677" s="4" t="s">
        <v>1936</v>
      </c>
    </row>
    <row r="678" spans="1:15" x14ac:dyDescent="0.3">
      <c r="A678" s="1" t="s">
        <v>1362</v>
      </c>
      <c r="B678" s="1" t="s">
        <v>1363</v>
      </c>
      <c r="C678" s="2">
        <v>27465.49</v>
      </c>
      <c r="D678" s="1" t="s">
        <v>51</v>
      </c>
      <c r="E678" s="1" t="s">
        <v>29</v>
      </c>
      <c r="F678" s="1" t="s">
        <v>26</v>
      </c>
      <c r="G678" s="1" t="s">
        <v>31</v>
      </c>
      <c r="H678" s="1">
        <v>517</v>
      </c>
      <c r="I678" s="1">
        <v>22</v>
      </c>
      <c r="J678" s="1">
        <v>2</v>
      </c>
      <c r="K678" s="2">
        <v>14021.21</v>
      </c>
      <c r="L678" s="1">
        <v>0</v>
      </c>
      <c r="M678" s="1">
        <v>4.8000000000000001E-2</v>
      </c>
      <c r="N678" s="1">
        <v>5</v>
      </c>
      <c r="O678" s="4" t="s">
        <v>1936</v>
      </c>
    </row>
    <row r="679" spans="1:15" x14ac:dyDescent="0.3">
      <c r="A679" s="1" t="s">
        <v>1364</v>
      </c>
      <c r="B679" s="1" t="s">
        <v>1365</v>
      </c>
      <c r="C679" s="2">
        <v>33590.379999999997</v>
      </c>
      <c r="D679" s="1" t="s">
        <v>51</v>
      </c>
      <c r="E679" s="1" t="s">
        <v>29</v>
      </c>
      <c r="F679" s="1" t="s">
        <v>26</v>
      </c>
      <c r="G679" s="1" t="s">
        <v>46</v>
      </c>
      <c r="H679" s="1">
        <v>371</v>
      </c>
      <c r="I679" s="1">
        <v>1</v>
      </c>
      <c r="J679" s="1">
        <v>0</v>
      </c>
      <c r="K679" s="2">
        <v>9474.35</v>
      </c>
      <c r="L679" s="1">
        <v>0</v>
      </c>
      <c r="M679" s="1">
        <v>0.495</v>
      </c>
      <c r="N679" s="1">
        <v>9</v>
      </c>
      <c r="O679" s="4" t="s">
        <v>1936</v>
      </c>
    </row>
    <row r="680" spans="1:15" x14ac:dyDescent="0.3">
      <c r="A680" s="1" t="s">
        <v>1366</v>
      </c>
      <c r="B680" s="1" t="s">
        <v>1367</v>
      </c>
      <c r="C680" s="2">
        <v>9009.27</v>
      </c>
      <c r="D680" s="1" t="s">
        <v>51</v>
      </c>
      <c r="E680" s="1" t="s">
        <v>18</v>
      </c>
      <c r="F680" s="1" t="s">
        <v>26</v>
      </c>
      <c r="G680" s="1" t="s">
        <v>20</v>
      </c>
      <c r="H680" s="1">
        <v>461</v>
      </c>
      <c r="I680" s="1">
        <v>0</v>
      </c>
      <c r="J680" s="1">
        <v>1</v>
      </c>
      <c r="K680" s="2">
        <v>29330.22</v>
      </c>
      <c r="L680" s="1">
        <v>0</v>
      </c>
      <c r="M680" s="1">
        <v>0.93300000000000005</v>
      </c>
      <c r="N680" s="1">
        <v>5</v>
      </c>
      <c r="O680" s="4" t="s">
        <v>1936</v>
      </c>
    </row>
    <row r="681" spans="1:15" x14ac:dyDescent="0.3">
      <c r="A681" s="1" t="s">
        <v>1368</v>
      </c>
      <c r="B681" s="1" t="s">
        <v>1369</v>
      </c>
      <c r="C681" s="2">
        <v>48535.29</v>
      </c>
      <c r="D681" s="1" t="s">
        <v>24</v>
      </c>
      <c r="E681" s="1" t="s">
        <v>25</v>
      </c>
      <c r="F681" s="1" t="s">
        <v>26</v>
      </c>
      <c r="G681" s="1" t="s">
        <v>20</v>
      </c>
      <c r="H681" s="1">
        <v>1413</v>
      </c>
      <c r="I681" s="1">
        <v>20</v>
      </c>
      <c r="J681" s="1">
        <v>1</v>
      </c>
      <c r="K681" s="2">
        <v>3892.77</v>
      </c>
      <c r="L681" s="1">
        <v>0</v>
      </c>
      <c r="M681" s="1">
        <v>0.56299999999999994</v>
      </c>
      <c r="N681" s="1">
        <v>5</v>
      </c>
      <c r="O681" s="4" t="s">
        <v>1936</v>
      </c>
    </row>
    <row r="682" spans="1:15" x14ac:dyDescent="0.3">
      <c r="A682" s="1" t="s">
        <v>1370</v>
      </c>
      <c r="B682" s="1" t="s">
        <v>1371</v>
      </c>
      <c r="C682" s="2">
        <v>4648.75</v>
      </c>
      <c r="D682" s="1" t="s">
        <v>51</v>
      </c>
      <c r="E682" s="1" t="s">
        <v>18</v>
      </c>
      <c r="F682" s="1" t="s">
        <v>19</v>
      </c>
      <c r="G682" s="1" t="s">
        <v>31</v>
      </c>
      <c r="H682" s="1">
        <v>1505</v>
      </c>
      <c r="I682" s="1">
        <v>12</v>
      </c>
      <c r="J682" s="1">
        <v>1</v>
      </c>
      <c r="K682" s="2">
        <v>23260.74</v>
      </c>
      <c r="L682" s="1">
        <v>0</v>
      </c>
      <c r="M682" s="1">
        <v>0.58399999999999996</v>
      </c>
      <c r="N682" s="1">
        <v>4</v>
      </c>
      <c r="O682" s="4" t="s">
        <v>1936</v>
      </c>
    </row>
    <row r="683" spans="1:15" x14ac:dyDescent="0.3">
      <c r="A683" s="1" t="s">
        <v>1372</v>
      </c>
      <c r="B683" s="1" t="s">
        <v>1373</v>
      </c>
      <c r="C683" s="2">
        <v>33817.51</v>
      </c>
      <c r="D683" s="1" t="s">
        <v>17</v>
      </c>
      <c r="E683" s="1" t="s">
        <v>18</v>
      </c>
      <c r="F683" s="1" t="s">
        <v>30</v>
      </c>
      <c r="G683" s="1" t="s">
        <v>46</v>
      </c>
      <c r="H683" s="1">
        <v>725</v>
      </c>
      <c r="I683" s="1">
        <v>4</v>
      </c>
      <c r="J683" s="1">
        <v>2</v>
      </c>
      <c r="K683" s="2">
        <v>7280.79</v>
      </c>
      <c r="L683" s="1">
        <v>0</v>
      </c>
      <c r="M683" s="1">
        <v>0.20599999999999999</v>
      </c>
      <c r="N683" s="1">
        <v>6</v>
      </c>
      <c r="O683" s="4" t="s">
        <v>1936</v>
      </c>
    </row>
    <row r="684" spans="1:15" x14ac:dyDescent="0.3">
      <c r="A684" s="1" t="s">
        <v>1374</v>
      </c>
      <c r="B684" s="1" t="s">
        <v>1375</v>
      </c>
      <c r="C684" s="2">
        <v>7783.69</v>
      </c>
      <c r="D684" s="1" t="s">
        <v>24</v>
      </c>
      <c r="E684" s="1" t="s">
        <v>25</v>
      </c>
      <c r="F684" s="1" t="s">
        <v>30</v>
      </c>
      <c r="G684" s="1" t="s">
        <v>31</v>
      </c>
      <c r="H684" s="1">
        <v>915</v>
      </c>
      <c r="I684" s="1">
        <v>8</v>
      </c>
      <c r="J684" s="1">
        <v>0</v>
      </c>
      <c r="K684" s="2">
        <v>16618.66</v>
      </c>
      <c r="L684" s="1">
        <v>0</v>
      </c>
      <c r="M684" s="1">
        <v>0.19800000000000001</v>
      </c>
      <c r="N684" s="1">
        <v>3</v>
      </c>
      <c r="O684" s="4" t="s">
        <v>1936</v>
      </c>
    </row>
    <row r="685" spans="1:15" x14ac:dyDescent="0.3">
      <c r="A685" s="1" t="s">
        <v>1376</v>
      </c>
      <c r="B685" s="1" t="s">
        <v>1377</v>
      </c>
      <c r="C685" s="2">
        <v>29399.91</v>
      </c>
      <c r="D685" s="1" t="s">
        <v>17</v>
      </c>
      <c r="E685" s="1" t="s">
        <v>29</v>
      </c>
      <c r="F685" s="1" t="s">
        <v>19</v>
      </c>
      <c r="G685" s="1" t="s">
        <v>46</v>
      </c>
      <c r="H685" s="1">
        <v>642</v>
      </c>
      <c r="I685" s="1">
        <v>3</v>
      </c>
      <c r="J685" s="1">
        <v>2</v>
      </c>
      <c r="K685" s="2">
        <v>26511.93</v>
      </c>
      <c r="L685" s="1">
        <v>0</v>
      </c>
      <c r="M685" s="1">
        <v>0.59199999999999997</v>
      </c>
      <c r="N685" s="1">
        <v>1</v>
      </c>
      <c r="O685" s="4" t="s">
        <v>1936</v>
      </c>
    </row>
    <row r="686" spans="1:15" x14ac:dyDescent="0.3">
      <c r="A686" s="1" t="s">
        <v>1378</v>
      </c>
      <c r="B686" s="1" t="s">
        <v>1379</v>
      </c>
      <c r="C686" s="2">
        <v>20437.18</v>
      </c>
      <c r="D686" s="1" t="s">
        <v>17</v>
      </c>
      <c r="E686" s="1" t="s">
        <v>18</v>
      </c>
      <c r="F686" s="1" t="s">
        <v>30</v>
      </c>
      <c r="G686" s="1" t="s">
        <v>31</v>
      </c>
      <c r="H686" s="1">
        <v>1944</v>
      </c>
      <c r="I686" s="1">
        <v>14</v>
      </c>
      <c r="J686" s="1">
        <v>4</v>
      </c>
      <c r="K686" s="2">
        <v>2284.09</v>
      </c>
      <c r="L686" s="1">
        <v>0</v>
      </c>
      <c r="M686" s="1">
        <v>0.86799999999999999</v>
      </c>
      <c r="N686" s="1">
        <v>1</v>
      </c>
      <c r="O686" s="4" t="s">
        <v>1936</v>
      </c>
    </row>
    <row r="687" spans="1:15" x14ac:dyDescent="0.3">
      <c r="A687" s="1" t="s">
        <v>1380</v>
      </c>
      <c r="B687" s="1" t="s">
        <v>1381</v>
      </c>
      <c r="C687" s="2">
        <v>41998.09</v>
      </c>
      <c r="D687" s="1" t="s">
        <v>51</v>
      </c>
      <c r="E687" s="1" t="s">
        <v>29</v>
      </c>
      <c r="F687" s="1" t="s">
        <v>30</v>
      </c>
      <c r="G687" s="1" t="s">
        <v>56</v>
      </c>
      <c r="H687" s="1">
        <v>763</v>
      </c>
      <c r="I687" s="1">
        <v>12</v>
      </c>
      <c r="J687" s="1">
        <v>0</v>
      </c>
      <c r="K687" s="2">
        <v>22958.29</v>
      </c>
      <c r="L687" s="1">
        <v>0</v>
      </c>
      <c r="M687" s="1">
        <v>0.96699999999999997</v>
      </c>
      <c r="N687" s="1">
        <v>8</v>
      </c>
      <c r="O687" s="4" t="s">
        <v>1936</v>
      </c>
    </row>
    <row r="688" spans="1:15" x14ac:dyDescent="0.3">
      <c r="A688" s="1" t="s">
        <v>1382</v>
      </c>
      <c r="B688" s="1" t="s">
        <v>1383</v>
      </c>
      <c r="C688" s="2">
        <v>4676.6400000000003</v>
      </c>
      <c r="D688" s="1" t="s">
        <v>17</v>
      </c>
      <c r="E688" s="1" t="s">
        <v>39</v>
      </c>
      <c r="F688" s="1" t="s">
        <v>30</v>
      </c>
      <c r="G688" s="1" t="s">
        <v>31</v>
      </c>
      <c r="H688" s="1">
        <v>1074</v>
      </c>
      <c r="I688" s="1">
        <v>18</v>
      </c>
      <c r="J688" s="1">
        <v>0</v>
      </c>
      <c r="K688" s="2">
        <v>769.67</v>
      </c>
      <c r="L688" s="1">
        <v>0</v>
      </c>
      <c r="M688" s="1">
        <v>0.64200000000000002</v>
      </c>
      <c r="N688" s="1">
        <v>9</v>
      </c>
      <c r="O688" s="4" t="s">
        <v>1936</v>
      </c>
    </row>
    <row r="689" spans="1:15" x14ac:dyDescent="0.3">
      <c r="A689" s="1" t="s">
        <v>1384</v>
      </c>
      <c r="B689" s="1" t="s">
        <v>1385</v>
      </c>
      <c r="C689" s="2">
        <v>26939.68</v>
      </c>
      <c r="D689" s="1" t="s">
        <v>17</v>
      </c>
      <c r="E689" s="1" t="s">
        <v>39</v>
      </c>
      <c r="F689" s="1" t="s">
        <v>30</v>
      </c>
      <c r="G689" s="1" t="s">
        <v>56</v>
      </c>
      <c r="H689" s="1">
        <v>224</v>
      </c>
      <c r="I689" s="1">
        <v>19</v>
      </c>
      <c r="J689" s="1">
        <v>3</v>
      </c>
      <c r="K689" s="2">
        <v>1819.43</v>
      </c>
      <c r="L689" s="1">
        <v>0</v>
      </c>
      <c r="M689" s="1">
        <v>0.82</v>
      </c>
      <c r="N689" s="1">
        <v>8</v>
      </c>
      <c r="O689" s="4" t="s">
        <v>1936</v>
      </c>
    </row>
    <row r="690" spans="1:15" x14ac:dyDescent="0.3">
      <c r="A690" s="1" t="s">
        <v>1386</v>
      </c>
      <c r="B690" s="1" t="s">
        <v>1387</v>
      </c>
      <c r="C690" s="2">
        <v>31530.85</v>
      </c>
      <c r="D690" s="1" t="s">
        <v>24</v>
      </c>
      <c r="E690" s="1" t="s">
        <v>39</v>
      </c>
      <c r="F690" s="1" t="s">
        <v>26</v>
      </c>
      <c r="G690" s="1" t="s">
        <v>56</v>
      </c>
      <c r="H690" s="1">
        <v>1355</v>
      </c>
      <c r="I690" s="1">
        <v>23</v>
      </c>
      <c r="J690" s="1">
        <v>3</v>
      </c>
      <c r="K690" s="2">
        <v>22738.26</v>
      </c>
      <c r="L690" s="1">
        <v>0</v>
      </c>
      <c r="M690" s="1">
        <v>0.46300000000000002</v>
      </c>
      <c r="N690" s="1">
        <v>9</v>
      </c>
      <c r="O690" s="4" t="s">
        <v>1936</v>
      </c>
    </row>
    <row r="691" spans="1:15" x14ac:dyDescent="0.3">
      <c r="A691" s="1" t="s">
        <v>1388</v>
      </c>
      <c r="B691" s="1" t="s">
        <v>1389</v>
      </c>
      <c r="C691" s="2">
        <v>35287.769999999997</v>
      </c>
      <c r="D691" s="1" t="s">
        <v>24</v>
      </c>
      <c r="E691" s="1" t="s">
        <v>29</v>
      </c>
      <c r="F691" s="1" t="s">
        <v>26</v>
      </c>
      <c r="G691" s="1" t="s">
        <v>46</v>
      </c>
      <c r="H691" s="1">
        <v>846</v>
      </c>
      <c r="I691" s="1">
        <v>13</v>
      </c>
      <c r="J691" s="1">
        <v>0</v>
      </c>
      <c r="K691" s="2">
        <v>29308.880000000001</v>
      </c>
      <c r="L691" s="1">
        <v>0</v>
      </c>
      <c r="M691" s="1">
        <v>1.7000000000000001E-2</v>
      </c>
      <c r="N691" s="1">
        <v>1</v>
      </c>
      <c r="O691" s="4" t="s">
        <v>1936</v>
      </c>
    </row>
    <row r="692" spans="1:15" x14ac:dyDescent="0.3">
      <c r="A692" s="1" t="s">
        <v>1390</v>
      </c>
      <c r="B692" s="1" t="s">
        <v>1391</v>
      </c>
      <c r="C692" s="2">
        <v>42945.279999999999</v>
      </c>
      <c r="D692" s="1" t="s">
        <v>17</v>
      </c>
      <c r="E692" s="1" t="s">
        <v>29</v>
      </c>
      <c r="F692" s="1" t="s">
        <v>26</v>
      </c>
      <c r="G692" s="1" t="s">
        <v>31</v>
      </c>
      <c r="H692" s="1">
        <v>1937</v>
      </c>
      <c r="I692" s="1">
        <v>19</v>
      </c>
      <c r="J692" s="1">
        <v>0</v>
      </c>
      <c r="K692" s="2">
        <v>5525.26</v>
      </c>
      <c r="L692" s="1">
        <v>0</v>
      </c>
      <c r="M692" s="1">
        <v>0.23899999999999999</v>
      </c>
      <c r="N692" s="1">
        <v>6</v>
      </c>
      <c r="O692" s="4" t="s">
        <v>1936</v>
      </c>
    </row>
    <row r="693" spans="1:15" x14ac:dyDescent="0.3">
      <c r="A693" s="1" t="s">
        <v>1392</v>
      </c>
      <c r="B693" s="1" t="s">
        <v>1393</v>
      </c>
      <c r="C693" s="2">
        <v>25985.27</v>
      </c>
      <c r="D693" s="1" t="s">
        <v>51</v>
      </c>
      <c r="E693" s="1" t="s">
        <v>18</v>
      </c>
      <c r="F693" s="1" t="s">
        <v>26</v>
      </c>
      <c r="G693" s="1" t="s">
        <v>46</v>
      </c>
      <c r="H693" s="1">
        <v>1529</v>
      </c>
      <c r="I693" s="1">
        <v>23</v>
      </c>
      <c r="J693" s="1">
        <v>2</v>
      </c>
      <c r="K693" s="2">
        <v>11727.47</v>
      </c>
      <c r="L693" s="1">
        <v>0</v>
      </c>
      <c r="M693" s="1">
        <v>0.307</v>
      </c>
      <c r="N693" s="1">
        <v>6</v>
      </c>
      <c r="O693" s="4" t="s">
        <v>1936</v>
      </c>
    </row>
    <row r="694" spans="1:15" x14ac:dyDescent="0.3">
      <c r="A694" s="1" t="s">
        <v>1394</v>
      </c>
      <c r="B694" s="1" t="s">
        <v>1395</v>
      </c>
      <c r="C694" s="2">
        <v>11748.46</v>
      </c>
      <c r="D694" s="1" t="s">
        <v>24</v>
      </c>
      <c r="E694" s="1" t="s">
        <v>29</v>
      </c>
      <c r="F694" s="1" t="s">
        <v>30</v>
      </c>
      <c r="G694" s="1" t="s">
        <v>46</v>
      </c>
      <c r="H694" s="1">
        <v>1158</v>
      </c>
      <c r="I694" s="1">
        <v>14</v>
      </c>
      <c r="J694" s="1">
        <v>0</v>
      </c>
      <c r="K694" s="2">
        <v>5889.6</v>
      </c>
      <c r="L694" s="1">
        <v>0</v>
      </c>
      <c r="M694" s="1">
        <v>0.13200000000000001</v>
      </c>
      <c r="N694" s="1">
        <v>3</v>
      </c>
      <c r="O694" s="4" t="s">
        <v>1936</v>
      </c>
    </row>
    <row r="695" spans="1:15" x14ac:dyDescent="0.3">
      <c r="A695" s="1" t="s">
        <v>1396</v>
      </c>
      <c r="B695" s="1" t="s">
        <v>1397</v>
      </c>
      <c r="C695" s="2">
        <v>43532.82</v>
      </c>
      <c r="D695" s="1" t="s">
        <v>24</v>
      </c>
      <c r="E695" s="1" t="s">
        <v>25</v>
      </c>
      <c r="F695" s="1" t="s">
        <v>26</v>
      </c>
      <c r="G695" s="1" t="s">
        <v>46</v>
      </c>
      <c r="H695" s="1">
        <v>572</v>
      </c>
      <c r="I695" s="1">
        <v>12</v>
      </c>
      <c r="J695" s="1">
        <v>0</v>
      </c>
      <c r="K695" s="2">
        <v>6794.32</v>
      </c>
      <c r="L695" s="1">
        <v>0</v>
      </c>
      <c r="M695" s="1">
        <v>0.63700000000000001</v>
      </c>
      <c r="N695" s="1">
        <v>7</v>
      </c>
      <c r="O695" s="4" t="s">
        <v>1936</v>
      </c>
    </row>
    <row r="696" spans="1:15" x14ac:dyDescent="0.3">
      <c r="A696" s="1" t="s">
        <v>1398</v>
      </c>
      <c r="B696" s="1" t="s">
        <v>1399</v>
      </c>
      <c r="C696" s="2">
        <v>16893.47</v>
      </c>
      <c r="D696" s="1" t="s">
        <v>17</v>
      </c>
      <c r="E696" s="1" t="s">
        <v>29</v>
      </c>
      <c r="F696" s="1" t="s">
        <v>26</v>
      </c>
      <c r="G696" s="1" t="s">
        <v>31</v>
      </c>
      <c r="H696" s="1">
        <v>1792</v>
      </c>
      <c r="I696" s="1">
        <v>12</v>
      </c>
      <c r="J696" s="1">
        <v>0</v>
      </c>
      <c r="K696" s="2">
        <v>20787.93</v>
      </c>
      <c r="L696" s="1">
        <v>0</v>
      </c>
      <c r="M696" s="1">
        <v>0.51800000000000002</v>
      </c>
      <c r="N696" s="1">
        <v>1</v>
      </c>
      <c r="O696" s="4" t="s">
        <v>1936</v>
      </c>
    </row>
    <row r="697" spans="1:15" x14ac:dyDescent="0.3">
      <c r="A697" s="1" t="s">
        <v>1400</v>
      </c>
      <c r="B697" s="1" t="s">
        <v>1401</v>
      </c>
      <c r="C697" s="2">
        <v>35452.839999999997</v>
      </c>
      <c r="D697" s="1" t="s">
        <v>24</v>
      </c>
      <c r="E697" s="1" t="s">
        <v>29</v>
      </c>
      <c r="F697" s="1" t="s">
        <v>26</v>
      </c>
      <c r="G697" s="1" t="s">
        <v>46</v>
      </c>
      <c r="H697" s="1">
        <v>1484</v>
      </c>
      <c r="I697" s="1">
        <v>2</v>
      </c>
      <c r="J697" s="1">
        <v>1</v>
      </c>
      <c r="K697" s="2">
        <v>7576.58</v>
      </c>
      <c r="L697" s="1">
        <v>0</v>
      </c>
      <c r="M697" s="1">
        <v>0.55400000000000005</v>
      </c>
      <c r="N697" s="1">
        <v>9</v>
      </c>
      <c r="O697" s="4" t="s">
        <v>1936</v>
      </c>
    </row>
    <row r="698" spans="1:15" x14ac:dyDescent="0.3">
      <c r="A698" s="1" t="s">
        <v>1402</v>
      </c>
      <c r="B698" s="1" t="s">
        <v>1403</v>
      </c>
      <c r="C698" s="2">
        <v>24225.27</v>
      </c>
      <c r="D698" s="1" t="s">
        <v>24</v>
      </c>
      <c r="E698" s="1" t="s">
        <v>39</v>
      </c>
      <c r="F698" s="1" t="s">
        <v>30</v>
      </c>
      <c r="G698" s="1" t="s">
        <v>36</v>
      </c>
      <c r="H698" s="1">
        <v>1197</v>
      </c>
      <c r="I698" s="1">
        <v>4</v>
      </c>
      <c r="J698" s="1">
        <v>2</v>
      </c>
      <c r="K698" s="2">
        <v>18014.400000000001</v>
      </c>
      <c r="L698" s="1">
        <v>0</v>
      </c>
      <c r="M698" s="1">
        <v>0.83399999999999996</v>
      </c>
      <c r="N698" s="1">
        <v>6</v>
      </c>
      <c r="O698" s="4" t="s">
        <v>1936</v>
      </c>
    </row>
    <row r="699" spans="1:15" x14ac:dyDescent="0.3">
      <c r="A699" s="1" t="s">
        <v>1404</v>
      </c>
      <c r="B699" s="1" t="s">
        <v>1405</v>
      </c>
      <c r="C699" s="2">
        <v>37599.760000000002</v>
      </c>
      <c r="D699" s="1" t="s">
        <v>51</v>
      </c>
      <c r="E699" s="1" t="s">
        <v>25</v>
      </c>
      <c r="F699" s="1" t="s">
        <v>30</v>
      </c>
      <c r="G699" s="1" t="s">
        <v>46</v>
      </c>
      <c r="H699" s="1">
        <v>1082</v>
      </c>
      <c r="I699" s="1">
        <v>23</v>
      </c>
      <c r="J699" s="1">
        <v>3</v>
      </c>
      <c r="K699" s="2">
        <v>7240.84</v>
      </c>
      <c r="L699" s="1">
        <v>0</v>
      </c>
      <c r="M699" s="1">
        <v>0.311</v>
      </c>
      <c r="N699" s="1">
        <v>4</v>
      </c>
      <c r="O699" s="4" t="s">
        <v>1936</v>
      </c>
    </row>
    <row r="700" spans="1:15" x14ac:dyDescent="0.3">
      <c r="A700" s="1" t="s">
        <v>1406</v>
      </c>
      <c r="B700" s="1" t="s">
        <v>1407</v>
      </c>
      <c r="C700" s="2">
        <v>9789.01</v>
      </c>
      <c r="D700" s="1" t="s">
        <v>17</v>
      </c>
      <c r="E700" s="1" t="s">
        <v>25</v>
      </c>
      <c r="F700" s="1" t="s">
        <v>26</v>
      </c>
      <c r="G700" s="1" t="s">
        <v>46</v>
      </c>
      <c r="H700" s="1">
        <v>1057</v>
      </c>
      <c r="I700" s="1">
        <v>18</v>
      </c>
      <c r="J700" s="1">
        <v>1</v>
      </c>
      <c r="K700" s="2">
        <v>767.27</v>
      </c>
      <c r="L700" s="1">
        <v>0</v>
      </c>
      <c r="M700" s="1">
        <v>6.0999999999999999E-2</v>
      </c>
      <c r="N700" s="1">
        <v>9</v>
      </c>
      <c r="O700" s="4" t="s">
        <v>1936</v>
      </c>
    </row>
    <row r="701" spans="1:15" x14ac:dyDescent="0.3">
      <c r="A701" s="1" t="s">
        <v>1408</v>
      </c>
      <c r="B701" s="1" t="s">
        <v>513</v>
      </c>
      <c r="C701" s="2">
        <v>39822.26</v>
      </c>
      <c r="D701" s="1" t="s">
        <v>24</v>
      </c>
      <c r="E701" s="1" t="s">
        <v>25</v>
      </c>
      <c r="F701" s="1" t="s">
        <v>26</v>
      </c>
      <c r="G701" s="1" t="s">
        <v>20</v>
      </c>
      <c r="H701" s="1">
        <v>238</v>
      </c>
      <c r="I701" s="1">
        <v>11</v>
      </c>
      <c r="J701" s="1">
        <v>0</v>
      </c>
      <c r="K701" s="2">
        <v>11027.98</v>
      </c>
      <c r="L701" s="1">
        <v>0</v>
      </c>
      <c r="M701" s="1">
        <v>0.44800000000000001</v>
      </c>
      <c r="N701" s="1">
        <v>8</v>
      </c>
      <c r="O701" s="4" t="s">
        <v>1936</v>
      </c>
    </row>
    <row r="702" spans="1:15" x14ac:dyDescent="0.3">
      <c r="A702" s="1" t="s">
        <v>1409</v>
      </c>
      <c r="B702" s="1" t="s">
        <v>1410</v>
      </c>
      <c r="C702" s="2">
        <v>40756.239999999998</v>
      </c>
      <c r="D702" s="1" t="s">
        <v>17</v>
      </c>
      <c r="E702" s="1" t="s">
        <v>25</v>
      </c>
      <c r="F702" s="1" t="s">
        <v>30</v>
      </c>
      <c r="G702" s="1" t="s">
        <v>56</v>
      </c>
      <c r="H702" s="1">
        <v>32</v>
      </c>
      <c r="I702" s="1">
        <v>23</v>
      </c>
      <c r="J702" s="1">
        <v>4</v>
      </c>
      <c r="K702" s="2">
        <v>7536.52</v>
      </c>
      <c r="L702" s="1">
        <v>0</v>
      </c>
      <c r="M702" s="1">
        <v>0.92300000000000004</v>
      </c>
      <c r="N702" s="1">
        <v>4</v>
      </c>
      <c r="O702" s="4" t="s">
        <v>1936</v>
      </c>
    </row>
    <row r="703" spans="1:15" x14ac:dyDescent="0.3">
      <c r="A703" s="1" t="s">
        <v>1411</v>
      </c>
      <c r="B703" s="1" t="s">
        <v>1412</v>
      </c>
      <c r="C703" s="2">
        <v>38912.36</v>
      </c>
      <c r="D703" s="1" t="s">
        <v>24</v>
      </c>
      <c r="E703" s="1" t="s">
        <v>25</v>
      </c>
      <c r="F703" s="1" t="s">
        <v>19</v>
      </c>
      <c r="G703" s="1" t="s">
        <v>31</v>
      </c>
      <c r="H703" s="1">
        <v>302</v>
      </c>
      <c r="I703" s="1">
        <v>3</v>
      </c>
      <c r="J703" s="1">
        <v>0</v>
      </c>
      <c r="K703" s="2">
        <v>28388.95</v>
      </c>
      <c r="L703" s="1">
        <v>1</v>
      </c>
      <c r="M703" s="1">
        <v>4.8000000000000001E-2</v>
      </c>
      <c r="N703" s="1">
        <v>7</v>
      </c>
      <c r="O703" s="4" t="s">
        <v>1936</v>
      </c>
    </row>
    <row r="704" spans="1:15" x14ac:dyDescent="0.3">
      <c r="A704" s="1" t="s">
        <v>1413</v>
      </c>
      <c r="B704" s="1" t="s">
        <v>1414</v>
      </c>
      <c r="C704" s="2">
        <v>16298.27</v>
      </c>
      <c r="D704" s="1" t="s">
        <v>24</v>
      </c>
      <c r="E704" s="1" t="s">
        <v>25</v>
      </c>
      <c r="F704" s="1" t="s">
        <v>30</v>
      </c>
      <c r="G704" s="1" t="s">
        <v>20</v>
      </c>
      <c r="H704" s="1">
        <v>520</v>
      </c>
      <c r="I704" s="1">
        <v>3</v>
      </c>
      <c r="J704" s="1">
        <v>0</v>
      </c>
      <c r="K704" s="2">
        <v>26363.81</v>
      </c>
      <c r="L704" s="1">
        <v>0</v>
      </c>
      <c r="M704" s="1">
        <v>0.75</v>
      </c>
      <c r="N704" s="1">
        <v>2</v>
      </c>
      <c r="O704" s="4" t="s">
        <v>1936</v>
      </c>
    </row>
    <row r="705" spans="1:15" x14ac:dyDescent="0.3">
      <c r="A705" s="1" t="s">
        <v>1415</v>
      </c>
      <c r="B705" s="1" t="s">
        <v>1416</v>
      </c>
      <c r="C705" s="2">
        <v>3409.43</v>
      </c>
      <c r="D705" s="1" t="s">
        <v>24</v>
      </c>
      <c r="E705" s="1" t="s">
        <v>18</v>
      </c>
      <c r="F705" s="1" t="s">
        <v>30</v>
      </c>
      <c r="G705" s="1" t="s">
        <v>46</v>
      </c>
      <c r="H705" s="1">
        <v>470</v>
      </c>
      <c r="I705" s="1">
        <v>20</v>
      </c>
      <c r="J705" s="1">
        <v>0</v>
      </c>
      <c r="K705" s="2">
        <v>15026.03</v>
      </c>
      <c r="L705" s="1">
        <v>0</v>
      </c>
      <c r="M705" s="1">
        <v>0.73899999999999999</v>
      </c>
      <c r="N705" s="1">
        <v>9</v>
      </c>
      <c r="O705" s="4" t="s">
        <v>1936</v>
      </c>
    </row>
    <row r="706" spans="1:15" x14ac:dyDescent="0.3">
      <c r="A706" s="1" t="s">
        <v>1417</v>
      </c>
      <c r="B706" s="1" t="s">
        <v>1418</v>
      </c>
      <c r="C706" s="2">
        <v>33755.58</v>
      </c>
      <c r="D706" s="1" t="s">
        <v>17</v>
      </c>
      <c r="E706" s="1" t="s">
        <v>39</v>
      </c>
      <c r="F706" s="1" t="s">
        <v>19</v>
      </c>
      <c r="G706" s="1" t="s">
        <v>31</v>
      </c>
      <c r="H706" s="1">
        <v>1666</v>
      </c>
      <c r="I706" s="1">
        <v>7</v>
      </c>
      <c r="J706" s="1">
        <v>2</v>
      </c>
      <c r="K706" s="2">
        <v>25445.79</v>
      </c>
      <c r="L706" s="1">
        <v>0</v>
      </c>
      <c r="M706" s="1">
        <v>0.92400000000000004</v>
      </c>
      <c r="N706" s="1">
        <v>1</v>
      </c>
      <c r="O706" s="4" t="s">
        <v>1936</v>
      </c>
    </row>
    <row r="707" spans="1:15" x14ac:dyDescent="0.3">
      <c r="A707" s="1" t="s">
        <v>1419</v>
      </c>
      <c r="B707" s="1" t="s">
        <v>1420</v>
      </c>
      <c r="C707" s="2">
        <v>33892.699999999997</v>
      </c>
      <c r="D707" s="1" t="s">
        <v>51</v>
      </c>
      <c r="E707" s="1" t="s">
        <v>39</v>
      </c>
      <c r="F707" s="1" t="s">
        <v>19</v>
      </c>
      <c r="G707" s="1" t="s">
        <v>36</v>
      </c>
      <c r="H707" s="1">
        <v>1705</v>
      </c>
      <c r="I707" s="1">
        <v>8</v>
      </c>
      <c r="J707" s="1">
        <v>3</v>
      </c>
      <c r="K707" s="2">
        <v>27661.53</v>
      </c>
      <c r="L707" s="1">
        <v>0</v>
      </c>
      <c r="M707" s="1">
        <v>0.109</v>
      </c>
      <c r="N707" s="1">
        <v>1</v>
      </c>
      <c r="O707" s="4" t="s">
        <v>1936</v>
      </c>
    </row>
    <row r="708" spans="1:15" x14ac:dyDescent="0.3">
      <c r="A708" s="1" t="s">
        <v>1421</v>
      </c>
      <c r="B708" s="1" t="s">
        <v>1422</v>
      </c>
      <c r="C708" s="2">
        <v>36884.43</v>
      </c>
      <c r="D708" s="1" t="s">
        <v>24</v>
      </c>
      <c r="E708" s="1" t="s">
        <v>39</v>
      </c>
      <c r="F708" s="1" t="s">
        <v>26</v>
      </c>
      <c r="G708" s="1" t="s">
        <v>46</v>
      </c>
      <c r="H708" s="1">
        <v>1396</v>
      </c>
      <c r="I708" s="1">
        <v>21</v>
      </c>
      <c r="J708" s="1">
        <v>1</v>
      </c>
      <c r="K708" s="2">
        <v>10290.32</v>
      </c>
      <c r="L708" s="1">
        <v>1</v>
      </c>
      <c r="M708" s="1">
        <v>0.29499999999999998</v>
      </c>
      <c r="N708" s="1">
        <v>8</v>
      </c>
      <c r="O708" s="4" t="s">
        <v>1936</v>
      </c>
    </row>
    <row r="709" spans="1:15" x14ac:dyDescent="0.3">
      <c r="A709" s="1" t="s">
        <v>1423</v>
      </c>
      <c r="B709" s="1" t="s">
        <v>1424</v>
      </c>
      <c r="C709" s="2">
        <v>16797.189999999999</v>
      </c>
      <c r="D709" s="1" t="s">
        <v>24</v>
      </c>
      <c r="E709" s="1" t="s">
        <v>18</v>
      </c>
      <c r="F709" s="1" t="s">
        <v>19</v>
      </c>
      <c r="G709" s="1" t="s">
        <v>56</v>
      </c>
      <c r="H709" s="1">
        <v>341</v>
      </c>
      <c r="I709" s="1">
        <v>9</v>
      </c>
      <c r="J709" s="1">
        <v>4</v>
      </c>
      <c r="K709" s="2">
        <v>27944.91</v>
      </c>
      <c r="L709" s="1">
        <v>0</v>
      </c>
      <c r="M709" s="1">
        <v>0.55900000000000005</v>
      </c>
      <c r="N709" s="1">
        <v>3</v>
      </c>
      <c r="O709" s="4" t="s">
        <v>1936</v>
      </c>
    </row>
    <row r="710" spans="1:15" x14ac:dyDescent="0.3">
      <c r="A710" s="1" t="s">
        <v>1425</v>
      </c>
      <c r="B710" s="1" t="s">
        <v>1426</v>
      </c>
      <c r="C710" s="2">
        <v>19310.599999999999</v>
      </c>
      <c r="D710" s="1" t="s">
        <v>17</v>
      </c>
      <c r="E710" s="1" t="s">
        <v>29</v>
      </c>
      <c r="F710" s="1" t="s">
        <v>19</v>
      </c>
      <c r="G710" s="1" t="s">
        <v>56</v>
      </c>
      <c r="H710" s="1">
        <v>989</v>
      </c>
      <c r="I710" s="1">
        <v>17</v>
      </c>
      <c r="J710" s="1">
        <v>0</v>
      </c>
      <c r="K710" s="2">
        <v>8528.75</v>
      </c>
      <c r="L710" s="1">
        <v>0</v>
      </c>
      <c r="M710" s="1">
        <v>0.53500000000000003</v>
      </c>
      <c r="N710" s="1">
        <v>4</v>
      </c>
      <c r="O710" s="4" t="s">
        <v>1936</v>
      </c>
    </row>
    <row r="711" spans="1:15" x14ac:dyDescent="0.3">
      <c r="A711" s="1" t="s">
        <v>1427</v>
      </c>
      <c r="B711" s="1" t="s">
        <v>1428</v>
      </c>
      <c r="C711" s="2">
        <v>48655.19</v>
      </c>
      <c r="D711" s="1" t="s">
        <v>51</v>
      </c>
      <c r="E711" s="1" t="s">
        <v>25</v>
      </c>
      <c r="F711" s="1" t="s">
        <v>19</v>
      </c>
      <c r="G711" s="1" t="s">
        <v>56</v>
      </c>
      <c r="H711" s="1">
        <v>79</v>
      </c>
      <c r="I711" s="1">
        <v>19</v>
      </c>
      <c r="J711" s="1">
        <v>4</v>
      </c>
      <c r="K711" s="2">
        <v>5869.69</v>
      </c>
      <c r="L711" s="1">
        <v>0</v>
      </c>
      <c r="M711" s="1">
        <v>0.78200000000000003</v>
      </c>
      <c r="N711" s="1">
        <v>2</v>
      </c>
      <c r="O711" s="4" t="s">
        <v>1936</v>
      </c>
    </row>
    <row r="712" spans="1:15" x14ac:dyDescent="0.3">
      <c r="A712" s="1" t="s">
        <v>1429</v>
      </c>
      <c r="B712" s="1" t="s">
        <v>1430</v>
      </c>
      <c r="C712" s="2">
        <v>7388.75</v>
      </c>
      <c r="D712" s="1" t="s">
        <v>17</v>
      </c>
      <c r="E712" s="1" t="s">
        <v>29</v>
      </c>
      <c r="F712" s="1" t="s">
        <v>26</v>
      </c>
      <c r="G712" s="1" t="s">
        <v>31</v>
      </c>
      <c r="H712" s="1">
        <v>1053</v>
      </c>
      <c r="I712" s="1">
        <v>1</v>
      </c>
      <c r="J712" s="1">
        <v>4</v>
      </c>
      <c r="K712" s="2">
        <v>19645.05</v>
      </c>
      <c r="L712" s="1">
        <v>0</v>
      </c>
      <c r="M712" s="1">
        <v>0.9</v>
      </c>
      <c r="N712" s="1">
        <v>3</v>
      </c>
      <c r="O712" s="4" t="s">
        <v>1936</v>
      </c>
    </row>
    <row r="713" spans="1:15" x14ac:dyDescent="0.3">
      <c r="A713" s="1" t="s">
        <v>1431</v>
      </c>
      <c r="B713" s="1" t="s">
        <v>1432</v>
      </c>
      <c r="C713" s="2">
        <v>36264.050000000003</v>
      </c>
      <c r="D713" s="1" t="s">
        <v>51</v>
      </c>
      <c r="E713" s="1" t="s">
        <v>39</v>
      </c>
      <c r="F713" s="1" t="s">
        <v>19</v>
      </c>
      <c r="G713" s="1" t="s">
        <v>20</v>
      </c>
      <c r="H713" s="1">
        <v>664</v>
      </c>
      <c r="I713" s="1">
        <v>22</v>
      </c>
      <c r="J713" s="1">
        <v>1</v>
      </c>
      <c r="K713" s="2">
        <v>1259.8699999999999</v>
      </c>
      <c r="L713" s="1">
        <v>0</v>
      </c>
      <c r="M713" s="1">
        <v>0.54300000000000004</v>
      </c>
      <c r="N713" s="1">
        <v>8</v>
      </c>
      <c r="O713" s="4" t="s">
        <v>1936</v>
      </c>
    </row>
    <row r="714" spans="1:15" x14ac:dyDescent="0.3">
      <c r="A714" s="1" t="s">
        <v>1433</v>
      </c>
      <c r="B714" s="1" t="s">
        <v>1434</v>
      </c>
      <c r="C714" s="2">
        <v>24184.880000000001</v>
      </c>
      <c r="D714" s="1" t="s">
        <v>51</v>
      </c>
      <c r="E714" s="1" t="s">
        <v>39</v>
      </c>
      <c r="F714" s="1" t="s">
        <v>19</v>
      </c>
      <c r="G714" s="1" t="s">
        <v>36</v>
      </c>
      <c r="H714" s="1">
        <v>929</v>
      </c>
      <c r="I714" s="1">
        <v>8</v>
      </c>
      <c r="J714" s="1">
        <v>4</v>
      </c>
      <c r="K714" s="2">
        <v>7822.28</v>
      </c>
      <c r="L714" s="1">
        <v>0</v>
      </c>
      <c r="M714" s="1">
        <v>0.434</v>
      </c>
      <c r="N714" s="1">
        <v>9</v>
      </c>
      <c r="O714" s="4" t="s">
        <v>1936</v>
      </c>
    </row>
    <row r="715" spans="1:15" x14ac:dyDescent="0.3">
      <c r="A715" s="1" t="s">
        <v>1435</v>
      </c>
      <c r="B715" s="1" t="s">
        <v>1436</v>
      </c>
      <c r="C715" s="2">
        <v>9861.14</v>
      </c>
      <c r="D715" s="1" t="s">
        <v>51</v>
      </c>
      <c r="E715" s="1" t="s">
        <v>29</v>
      </c>
      <c r="F715" s="1" t="s">
        <v>30</v>
      </c>
      <c r="G715" s="1" t="s">
        <v>20</v>
      </c>
      <c r="H715" s="1">
        <v>1772</v>
      </c>
      <c r="I715" s="1">
        <v>14</v>
      </c>
      <c r="J715" s="1">
        <v>3</v>
      </c>
      <c r="K715" s="2">
        <v>5434.81</v>
      </c>
      <c r="L715" s="1">
        <v>0</v>
      </c>
      <c r="M715" s="1">
        <v>0.77600000000000002</v>
      </c>
      <c r="N715" s="1">
        <v>3</v>
      </c>
      <c r="O715" s="4" t="s">
        <v>1936</v>
      </c>
    </row>
    <row r="716" spans="1:15" x14ac:dyDescent="0.3">
      <c r="A716" s="1" t="s">
        <v>1437</v>
      </c>
      <c r="B716" s="1" t="s">
        <v>1438</v>
      </c>
      <c r="C716" s="2">
        <v>33100.28</v>
      </c>
      <c r="D716" s="1" t="s">
        <v>51</v>
      </c>
      <c r="E716" s="1" t="s">
        <v>39</v>
      </c>
      <c r="F716" s="1" t="s">
        <v>30</v>
      </c>
      <c r="G716" s="1" t="s">
        <v>36</v>
      </c>
      <c r="H716" s="1">
        <v>1545</v>
      </c>
      <c r="I716" s="1">
        <v>20</v>
      </c>
      <c r="J716" s="1">
        <v>1</v>
      </c>
      <c r="K716" s="2">
        <v>3680.13</v>
      </c>
      <c r="L716" s="1">
        <v>0</v>
      </c>
      <c r="M716" s="1">
        <v>7.1999999999999995E-2</v>
      </c>
      <c r="N716" s="1">
        <v>7</v>
      </c>
      <c r="O716" s="4" t="s">
        <v>1936</v>
      </c>
    </row>
    <row r="717" spans="1:15" x14ac:dyDescent="0.3">
      <c r="A717" s="1" t="s">
        <v>1439</v>
      </c>
      <c r="B717" s="1" t="s">
        <v>1440</v>
      </c>
      <c r="C717" s="2">
        <v>18758.68</v>
      </c>
      <c r="D717" s="1" t="s">
        <v>51</v>
      </c>
      <c r="E717" s="1" t="s">
        <v>18</v>
      </c>
      <c r="F717" s="1" t="s">
        <v>30</v>
      </c>
      <c r="G717" s="1" t="s">
        <v>56</v>
      </c>
      <c r="H717" s="1">
        <v>547</v>
      </c>
      <c r="I717" s="1">
        <v>12</v>
      </c>
      <c r="J717" s="1">
        <v>3</v>
      </c>
      <c r="K717" s="2">
        <v>1085.0899999999999</v>
      </c>
      <c r="L717" s="1">
        <v>0</v>
      </c>
      <c r="M717" s="1">
        <v>0.187</v>
      </c>
      <c r="N717" s="1">
        <v>5</v>
      </c>
      <c r="O717" s="4" t="s">
        <v>1936</v>
      </c>
    </row>
    <row r="718" spans="1:15" x14ac:dyDescent="0.3">
      <c r="A718" s="1" t="s">
        <v>1441</v>
      </c>
      <c r="B718" s="1" t="s">
        <v>1442</v>
      </c>
      <c r="C718" s="2">
        <v>29865.69</v>
      </c>
      <c r="D718" s="1" t="s">
        <v>51</v>
      </c>
      <c r="E718" s="1" t="s">
        <v>25</v>
      </c>
      <c r="F718" s="1" t="s">
        <v>26</v>
      </c>
      <c r="G718" s="1" t="s">
        <v>46</v>
      </c>
      <c r="H718" s="1">
        <v>1809</v>
      </c>
      <c r="I718" s="1">
        <v>13</v>
      </c>
      <c r="J718" s="1">
        <v>0</v>
      </c>
      <c r="K718" s="2">
        <v>29110.03</v>
      </c>
      <c r="L718" s="1">
        <v>0</v>
      </c>
      <c r="M718" s="1">
        <v>0.59799999999999998</v>
      </c>
      <c r="N718" s="1">
        <v>5</v>
      </c>
      <c r="O718" s="4" t="s">
        <v>1936</v>
      </c>
    </row>
    <row r="719" spans="1:15" x14ac:dyDescent="0.3">
      <c r="A719" s="1" t="s">
        <v>1443</v>
      </c>
      <c r="B719" s="1" t="s">
        <v>1444</v>
      </c>
      <c r="C719" s="2">
        <v>49977.91</v>
      </c>
      <c r="D719" s="1" t="s">
        <v>17</v>
      </c>
      <c r="E719" s="1" t="s">
        <v>29</v>
      </c>
      <c r="F719" s="1" t="s">
        <v>19</v>
      </c>
      <c r="G719" s="1" t="s">
        <v>46</v>
      </c>
      <c r="H719" s="1">
        <v>590</v>
      </c>
      <c r="I719" s="1">
        <v>9</v>
      </c>
      <c r="J719" s="1">
        <v>1</v>
      </c>
      <c r="K719" s="2">
        <v>25319.55</v>
      </c>
      <c r="L719" s="1">
        <v>0</v>
      </c>
      <c r="M719" s="1">
        <v>0.32800000000000001</v>
      </c>
      <c r="N719" s="1">
        <v>6</v>
      </c>
      <c r="O719" s="4" t="s">
        <v>1936</v>
      </c>
    </row>
    <row r="720" spans="1:15" x14ac:dyDescent="0.3">
      <c r="A720" s="1" t="s">
        <v>1445</v>
      </c>
      <c r="B720" s="1" t="s">
        <v>1446</v>
      </c>
      <c r="C720" s="2">
        <v>41386.269999999997</v>
      </c>
      <c r="D720" s="1" t="s">
        <v>17</v>
      </c>
      <c r="E720" s="1" t="s">
        <v>25</v>
      </c>
      <c r="F720" s="1" t="s">
        <v>30</v>
      </c>
      <c r="G720" s="1" t="s">
        <v>56</v>
      </c>
      <c r="H720" s="1">
        <v>1261</v>
      </c>
      <c r="I720" s="1">
        <v>8</v>
      </c>
      <c r="J720" s="1">
        <v>4</v>
      </c>
      <c r="K720" s="2">
        <v>10087.780000000001</v>
      </c>
      <c r="L720" s="1">
        <v>0</v>
      </c>
      <c r="M720" s="1">
        <v>0.17</v>
      </c>
      <c r="N720" s="1">
        <v>6</v>
      </c>
      <c r="O720" s="4" t="s">
        <v>1936</v>
      </c>
    </row>
    <row r="721" spans="1:15" x14ac:dyDescent="0.3">
      <c r="A721" s="1" t="s">
        <v>1447</v>
      </c>
      <c r="B721" s="1" t="s">
        <v>860</v>
      </c>
      <c r="C721" s="2">
        <v>37550.94</v>
      </c>
      <c r="D721" s="1" t="s">
        <v>51</v>
      </c>
      <c r="E721" s="1" t="s">
        <v>25</v>
      </c>
      <c r="F721" s="1" t="s">
        <v>26</v>
      </c>
      <c r="G721" s="1" t="s">
        <v>56</v>
      </c>
      <c r="H721" s="1">
        <v>477</v>
      </c>
      <c r="I721" s="1">
        <v>22</v>
      </c>
      <c r="J721" s="1">
        <v>2</v>
      </c>
      <c r="K721" s="2">
        <v>8923.77</v>
      </c>
      <c r="L721" s="1">
        <v>0</v>
      </c>
      <c r="M721" s="1">
        <v>0.91400000000000003</v>
      </c>
      <c r="N721" s="1">
        <v>3</v>
      </c>
      <c r="O721" s="4" t="s">
        <v>1936</v>
      </c>
    </row>
    <row r="722" spans="1:15" x14ac:dyDescent="0.3">
      <c r="A722" s="1" t="s">
        <v>1448</v>
      </c>
      <c r="B722" s="1" t="s">
        <v>1449</v>
      </c>
      <c r="C722" s="2">
        <v>11759.56</v>
      </c>
      <c r="D722" s="1" t="s">
        <v>24</v>
      </c>
      <c r="E722" s="1" t="s">
        <v>29</v>
      </c>
      <c r="F722" s="1" t="s">
        <v>30</v>
      </c>
      <c r="G722" s="1" t="s">
        <v>31</v>
      </c>
      <c r="H722" s="1">
        <v>1122</v>
      </c>
      <c r="I722" s="1">
        <v>14</v>
      </c>
      <c r="J722" s="1">
        <v>3</v>
      </c>
      <c r="K722" s="2">
        <v>26498.880000000001</v>
      </c>
      <c r="L722" s="1">
        <v>0</v>
      </c>
      <c r="M722" s="1">
        <v>0.5</v>
      </c>
      <c r="N722" s="1">
        <v>2</v>
      </c>
      <c r="O722" s="4" t="s">
        <v>1936</v>
      </c>
    </row>
    <row r="723" spans="1:15" x14ac:dyDescent="0.3">
      <c r="A723" s="1" t="s">
        <v>1450</v>
      </c>
      <c r="B723" s="1" t="s">
        <v>1451</v>
      </c>
      <c r="C723" s="2">
        <v>17286.93</v>
      </c>
      <c r="D723" s="1" t="s">
        <v>51</v>
      </c>
      <c r="E723" s="1" t="s">
        <v>29</v>
      </c>
      <c r="F723" s="1" t="s">
        <v>26</v>
      </c>
      <c r="G723" s="1" t="s">
        <v>20</v>
      </c>
      <c r="H723" s="1">
        <v>1036</v>
      </c>
      <c r="I723" s="1">
        <v>17</v>
      </c>
      <c r="J723" s="1">
        <v>1</v>
      </c>
      <c r="K723" s="2">
        <v>25374.16</v>
      </c>
      <c r="L723" s="1">
        <v>0</v>
      </c>
      <c r="M723" s="1">
        <v>0.72399999999999998</v>
      </c>
      <c r="N723" s="1">
        <v>7</v>
      </c>
      <c r="O723" s="4" t="s">
        <v>1936</v>
      </c>
    </row>
    <row r="724" spans="1:15" x14ac:dyDescent="0.3">
      <c r="A724" s="1" t="s">
        <v>1452</v>
      </c>
      <c r="B724" s="1" t="s">
        <v>1453</v>
      </c>
      <c r="C724" s="2">
        <v>33941.07</v>
      </c>
      <c r="D724" s="1" t="s">
        <v>24</v>
      </c>
      <c r="E724" s="1" t="s">
        <v>39</v>
      </c>
      <c r="F724" s="1" t="s">
        <v>30</v>
      </c>
      <c r="G724" s="1" t="s">
        <v>31</v>
      </c>
      <c r="H724" s="1">
        <v>1104</v>
      </c>
      <c r="I724" s="1">
        <v>7</v>
      </c>
      <c r="J724" s="1">
        <v>1</v>
      </c>
      <c r="K724" s="2">
        <v>29100.34</v>
      </c>
      <c r="L724" s="1">
        <v>0</v>
      </c>
      <c r="M724" s="1">
        <v>0.218</v>
      </c>
      <c r="N724" s="1">
        <v>2</v>
      </c>
      <c r="O724" s="4" t="s">
        <v>1936</v>
      </c>
    </row>
    <row r="725" spans="1:15" x14ac:dyDescent="0.3">
      <c r="A725" s="1" t="s">
        <v>1454</v>
      </c>
      <c r="B725" s="1" t="s">
        <v>1455</v>
      </c>
      <c r="C725" s="2">
        <v>36966.400000000001</v>
      </c>
      <c r="D725" s="1" t="s">
        <v>24</v>
      </c>
      <c r="E725" s="1" t="s">
        <v>25</v>
      </c>
      <c r="F725" s="1" t="s">
        <v>30</v>
      </c>
      <c r="G725" s="1" t="s">
        <v>31</v>
      </c>
      <c r="H725" s="1">
        <v>1564</v>
      </c>
      <c r="I725" s="1">
        <v>11</v>
      </c>
      <c r="J725" s="1">
        <v>4</v>
      </c>
      <c r="K725" s="2">
        <v>22361.08</v>
      </c>
      <c r="L725" s="1">
        <v>0</v>
      </c>
      <c r="M725" s="1">
        <v>0.39200000000000002</v>
      </c>
      <c r="N725" s="1">
        <v>3</v>
      </c>
      <c r="O725" s="4" t="s">
        <v>1936</v>
      </c>
    </row>
    <row r="726" spans="1:15" x14ac:dyDescent="0.3">
      <c r="A726" s="1" t="s">
        <v>1456</v>
      </c>
      <c r="B726" s="1" t="s">
        <v>1457</v>
      </c>
      <c r="C726" s="2">
        <v>35327</v>
      </c>
      <c r="D726" s="1" t="s">
        <v>24</v>
      </c>
      <c r="E726" s="1" t="s">
        <v>29</v>
      </c>
      <c r="F726" s="1" t="s">
        <v>30</v>
      </c>
      <c r="G726" s="1" t="s">
        <v>56</v>
      </c>
      <c r="H726" s="1">
        <v>1433</v>
      </c>
      <c r="I726" s="1">
        <v>19</v>
      </c>
      <c r="J726" s="1">
        <v>0</v>
      </c>
      <c r="K726" s="2">
        <v>22149.74</v>
      </c>
      <c r="L726" s="1">
        <v>0</v>
      </c>
      <c r="M726" s="1">
        <v>0.40200000000000002</v>
      </c>
      <c r="N726" s="1">
        <v>5</v>
      </c>
      <c r="O726" s="4" t="s">
        <v>1936</v>
      </c>
    </row>
    <row r="727" spans="1:15" x14ac:dyDescent="0.3">
      <c r="A727" s="1" t="s">
        <v>1458</v>
      </c>
      <c r="B727" s="1" t="s">
        <v>1459</v>
      </c>
      <c r="C727" s="2">
        <v>8181.41</v>
      </c>
      <c r="D727" s="1" t="s">
        <v>51</v>
      </c>
      <c r="E727" s="1" t="s">
        <v>39</v>
      </c>
      <c r="F727" s="1" t="s">
        <v>19</v>
      </c>
      <c r="G727" s="1" t="s">
        <v>36</v>
      </c>
      <c r="H727" s="1">
        <v>108</v>
      </c>
      <c r="I727" s="1">
        <v>22</v>
      </c>
      <c r="J727" s="1">
        <v>1</v>
      </c>
      <c r="K727" s="2">
        <v>22397.35</v>
      </c>
      <c r="L727" s="1">
        <v>0</v>
      </c>
      <c r="M727" s="1">
        <v>0.38</v>
      </c>
      <c r="N727" s="1">
        <v>4</v>
      </c>
      <c r="O727" s="4" t="s">
        <v>1936</v>
      </c>
    </row>
    <row r="728" spans="1:15" x14ac:dyDescent="0.3">
      <c r="A728" s="1" t="s">
        <v>1460</v>
      </c>
      <c r="B728" s="1" t="s">
        <v>818</v>
      </c>
      <c r="C728" s="2">
        <v>10661.74</v>
      </c>
      <c r="D728" s="1" t="s">
        <v>51</v>
      </c>
      <c r="E728" s="1" t="s">
        <v>39</v>
      </c>
      <c r="F728" s="1" t="s">
        <v>26</v>
      </c>
      <c r="G728" s="1" t="s">
        <v>31</v>
      </c>
      <c r="H728" s="1">
        <v>1562</v>
      </c>
      <c r="I728" s="1">
        <v>18</v>
      </c>
      <c r="J728" s="1">
        <v>0</v>
      </c>
      <c r="K728" s="2">
        <v>22246.82</v>
      </c>
      <c r="L728" s="1">
        <v>0</v>
      </c>
      <c r="M728" s="1">
        <v>0.28100000000000003</v>
      </c>
      <c r="N728" s="1">
        <v>2</v>
      </c>
      <c r="O728" s="4" t="s">
        <v>1936</v>
      </c>
    </row>
    <row r="729" spans="1:15" x14ac:dyDescent="0.3">
      <c r="A729" s="1" t="s">
        <v>1461</v>
      </c>
      <c r="B729" s="1" t="s">
        <v>1462</v>
      </c>
      <c r="C729" s="2">
        <v>44783.360000000001</v>
      </c>
      <c r="D729" s="1" t="s">
        <v>51</v>
      </c>
      <c r="E729" s="1" t="s">
        <v>29</v>
      </c>
      <c r="F729" s="1" t="s">
        <v>19</v>
      </c>
      <c r="G729" s="1" t="s">
        <v>46</v>
      </c>
      <c r="H729" s="1">
        <v>1972</v>
      </c>
      <c r="I729" s="1">
        <v>14</v>
      </c>
      <c r="J729" s="1">
        <v>4</v>
      </c>
      <c r="K729" s="2">
        <v>3156.19</v>
      </c>
      <c r="L729" s="1">
        <v>0</v>
      </c>
      <c r="M729" s="1">
        <v>0.88200000000000001</v>
      </c>
      <c r="N729" s="1">
        <v>7</v>
      </c>
      <c r="O729" s="4" t="s">
        <v>1936</v>
      </c>
    </row>
    <row r="730" spans="1:15" x14ac:dyDescent="0.3">
      <c r="A730" s="1" t="s">
        <v>1463</v>
      </c>
      <c r="B730" s="1" t="s">
        <v>1464</v>
      </c>
      <c r="C730" s="2">
        <v>15728.21</v>
      </c>
      <c r="D730" s="1" t="s">
        <v>17</v>
      </c>
      <c r="E730" s="1" t="s">
        <v>39</v>
      </c>
      <c r="F730" s="1" t="s">
        <v>19</v>
      </c>
      <c r="G730" s="1" t="s">
        <v>56</v>
      </c>
      <c r="H730" s="1">
        <v>272</v>
      </c>
      <c r="I730" s="1">
        <v>5</v>
      </c>
      <c r="J730" s="1">
        <v>1</v>
      </c>
      <c r="K730" s="2">
        <v>15164.68</v>
      </c>
      <c r="L730" s="1">
        <v>1</v>
      </c>
      <c r="M730" s="1">
        <v>0.85599999999999998</v>
      </c>
      <c r="N730" s="1">
        <v>3</v>
      </c>
      <c r="O730" s="4" t="s">
        <v>1936</v>
      </c>
    </row>
    <row r="731" spans="1:15" x14ac:dyDescent="0.3">
      <c r="A731" s="1" t="s">
        <v>1465</v>
      </c>
      <c r="B731" s="1" t="s">
        <v>1255</v>
      </c>
      <c r="C731" s="2">
        <v>15032.11</v>
      </c>
      <c r="D731" s="1" t="s">
        <v>17</v>
      </c>
      <c r="E731" s="1" t="s">
        <v>39</v>
      </c>
      <c r="F731" s="1" t="s">
        <v>26</v>
      </c>
      <c r="G731" s="1" t="s">
        <v>46</v>
      </c>
      <c r="H731" s="1">
        <v>1024</v>
      </c>
      <c r="I731" s="1">
        <v>19</v>
      </c>
      <c r="J731" s="1">
        <v>2</v>
      </c>
      <c r="K731" s="2">
        <v>534.42999999999995</v>
      </c>
      <c r="L731" s="1">
        <v>0</v>
      </c>
      <c r="M731" s="1">
        <v>0.754</v>
      </c>
      <c r="N731" s="1">
        <v>5</v>
      </c>
      <c r="O731" s="4" t="s">
        <v>1936</v>
      </c>
    </row>
    <row r="732" spans="1:15" x14ac:dyDescent="0.3">
      <c r="A732" s="1" t="s">
        <v>1466</v>
      </c>
      <c r="B732" s="1" t="s">
        <v>1467</v>
      </c>
      <c r="C732" s="2">
        <v>8667.57</v>
      </c>
      <c r="D732" s="1" t="s">
        <v>17</v>
      </c>
      <c r="E732" s="1" t="s">
        <v>18</v>
      </c>
      <c r="F732" s="1" t="s">
        <v>30</v>
      </c>
      <c r="G732" s="1" t="s">
        <v>46</v>
      </c>
      <c r="H732" s="1">
        <v>1640</v>
      </c>
      <c r="I732" s="1">
        <v>1</v>
      </c>
      <c r="J732" s="1">
        <v>3</v>
      </c>
      <c r="K732" s="2">
        <v>3161.29</v>
      </c>
      <c r="L732" s="1">
        <v>0</v>
      </c>
      <c r="M732" s="1">
        <v>0.16600000000000001</v>
      </c>
      <c r="N732" s="1">
        <v>4</v>
      </c>
      <c r="O732" s="4" t="s">
        <v>1936</v>
      </c>
    </row>
    <row r="733" spans="1:15" x14ac:dyDescent="0.3">
      <c r="A733" s="1" t="s">
        <v>1468</v>
      </c>
      <c r="B733" s="1" t="s">
        <v>1469</v>
      </c>
      <c r="C733" s="2">
        <v>34615.96</v>
      </c>
      <c r="D733" s="1" t="s">
        <v>51</v>
      </c>
      <c r="E733" s="1" t="s">
        <v>25</v>
      </c>
      <c r="F733" s="1" t="s">
        <v>26</v>
      </c>
      <c r="G733" s="1" t="s">
        <v>20</v>
      </c>
      <c r="H733" s="1">
        <v>955</v>
      </c>
      <c r="I733" s="1">
        <v>19</v>
      </c>
      <c r="J733" s="1">
        <v>3</v>
      </c>
      <c r="K733" s="2">
        <v>1755.82</v>
      </c>
      <c r="L733" s="1">
        <v>1</v>
      </c>
      <c r="M733" s="1">
        <v>0.74</v>
      </c>
      <c r="N733" s="1">
        <v>9</v>
      </c>
      <c r="O733" s="4" t="s">
        <v>1936</v>
      </c>
    </row>
    <row r="734" spans="1:15" x14ac:dyDescent="0.3">
      <c r="A734" s="1" t="s">
        <v>1470</v>
      </c>
      <c r="B734" s="1" t="s">
        <v>1471</v>
      </c>
      <c r="C734" s="2">
        <v>23361.32</v>
      </c>
      <c r="D734" s="1" t="s">
        <v>51</v>
      </c>
      <c r="E734" s="1" t="s">
        <v>25</v>
      </c>
      <c r="F734" s="1" t="s">
        <v>30</v>
      </c>
      <c r="G734" s="1" t="s">
        <v>31</v>
      </c>
      <c r="H734" s="1">
        <v>192</v>
      </c>
      <c r="I734" s="1">
        <v>12</v>
      </c>
      <c r="J734" s="1">
        <v>0</v>
      </c>
      <c r="K734" s="2">
        <v>17134.55</v>
      </c>
      <c r="L734" s="1">
        <v>0</v>
      </c>
      <c r="M734" s="1">
        <v>0</v>
      </c>
      <c r="N734" s="1">
        <v>1</v>
      </c>
      <c r="O734" s="4" t="s">
        <v>1936</v>
      </c>
    </row>
    <row r="735" spans="1:15" x14ac:dyDescent="0.3">
      <c r="A735" s="1" t="s">
        <v>1472</v>
      </c>
      <c r="B735" s="1" t="s">
        <v>1473</v>
      </c>
      <c r="C735" s="2">
        <v>20417.02</v>
      </c>
      <c r="D735" s="1" t="s">
        <v>17</v>
      </c>
      <c r="E735" s="1" t="s">
        <v>29</v>
      </c>
      <c r="F735" s="1" t="s">
        <v>26</v>
      </c>
      <c r="G735" s="1" t="s">
        <v>36</v>
      </c>
      <c r="H735" s="1">
        <v>1251</v>
      </c>
      <c r="I735" s="1">
        <v>6</v>
      </c>
      <c r="J735" s="1">
        <v>1</v>
      </c>
      <c r="K735" s="2">
        <v>5503.63</v>
      </c>
      <c r="L735" s="1">
        <v>0</v>
      </c>
      <c r="M735" s="1">
        <v>0.13100000000000001</v>
      </c>
      <c r="N735" s="1">
        <v>5</v>
      </c>
      <c r="O735" s="4" t="s">
        <v>1936</v>
      </c>
    </row>
    <row r="736" spans="1:15" x14ac:dyDescent="0.3">
      <c r="A736" s="1" t="s">
        <v>1474</v>
      </c>
      <c r="B736" s="1" t="s">
        <v>1475</v>
      </c>
      <c r="C736" s="2">
        <v>47907.99</v>
      </c>
      <c r="D736" s="1" t="s">
        <v>17</v>
      </c>
      <c r="E736" s="1" t="s">
        <v>29</v>
      </c>
      <c r="F736" s="1" t="s">
        <v>26</v>
      </c>
      <c r="G736" s="1" t="s">
        <v>46</v>
      </c>
      <c r="H736" s="1">
        <v>1845</v>
      </c>
      <c r="I736" s="1">
        <v>18</v>
      </c>
      <c r="J736" s="1">
        <v>4</v>
      </c>
      <c r="K736" s="2">
        <v>16216.01</v>
      </c>
      <c r="L736" s="1">
        <v>0</v>
      </c>
      <c r="M736" s="1">
        <v>0.77900000000000003</v>
      </c>
      <c r="N736" s="1">
        <v>5</v>
      </c>
      <c r="O736" s="4" t="s">
        <v>1936</v>
      </c>
    </row>
    <row r="737" spans="1:15" x14ac:dyDescent="0.3">
      <c r="A737" s="1" t="s">
        <v>1476</v>
      </c>
      <c r="B737" s="1" t="s">
        <v>1477</v>
      </c>
      <c r="C737" s="2">
        <v>42218.41</v>
      </c>
      <c r="D737" s="1" t="s">
        <v>51</v>
      </c>
      <c r="E737" s="1" t="s">
        <v>18</v>
      </c>
      <c r="F737" s="1" t="s">
        <v>30</v>
      </c>
      <c r="G737" s="1" t="s">
        <v>20</v>
      </c>
      <c r="H737" s="1">
        <v>380</v>
      </c>
      <c r="I737" s="1">
        <v>5</v>
      </c>
      <c r="J737" s="1">
        <v>4</v>
      </c>
      <c r="K737" s="2">
        <v>23494.01</v>
      </c>
      <c r="L737" s="1">
        <v>0</v>
      </c>
      <c r="M737" s="1">
        <v>0.44400000000000001</v>
      </c>
      <c r="N737" s="1">
        <v>7</v>
      </c>
      <c r="O737" s="4" t="s">
        <v>1936</v>
      </c>
    </row>
    <row r="738" spans="1:15" x14ac:dyDescent="0.3">
      <c r="A738" s="1" t="s">
        <v>1478</v>
      </c>
      <c r="B738" s="1" t="s">
        <v>1479</v>
      </c>
      <c r="C738" s="2">
        <v>13636.33</v>
      </c>
      <c r="D738" s="1" t="s">
        <v>17</v>
      </c>
      <c r="E738" s="1" t="s">
        <v>39</v>
      </c>
      <c r="F738" s="1" t="s">
        <v>19</v>
      </c>
      <c r="G738" s="1" t="s">
        <v>20</v>
      </c>
      <c r="H738" s="1">
        <v>834</v>
      </c>
      <c r="I738" s="1">
        <v>6</v>
      </c>
      <c r="J738" s="1">
        <v>3</v>
      </c>
      <c r="K738" s="2">
        <v>5402.2</v>
      </c>
      <c r="L738" s="1">
        <v>0</v>
      </c>
      <c r="M738" s="1">
        <v>0.97</v>
      </c>
      <c r="N738" s="1">
        <v>8</v>
      </c>
      <c r="O738" s="4" t="s">
        <v>1936</v>
      </c>
    </row>
    <row r="739" spans="1:15" x14ac:dyDescent="0.3">
      <c r="A739" s="1" t="s">
        <v>1480</v>
      </c>
      <c r="B739" s="1" t="s">
        <v>1481</v>
      </c>
      <c r="C739" s="2">
        <v>19788.009999999998</v>
      </c>
      <c r="D739" s="1" t="s">
        <v>24</v>
      </c>
      <c r="E739" s="1" t="s">
        <v>25</v>
      </c>
      <c r="F739" s="1" t="s">
        <v>30</v>
      </c>
      <c r="G739" s="1" t="s">
        <v>31</v>
      </c>
      <c r="H739" s="1">
        <v>1251</v>
      </c>
      <c r="I739" s="1">
        <v>8</v>
      </c>
      <c r="J739" s="1">
        <v>2</v>
      </c>
      <c r="K739" s="2">
        <v>26973.24</v>
      </c>
      <c r="L739" s="1">
        <v>0</v>
      </c>
      <c r="M739" s="1">
        <v>0.86699999999999999</v>
      </c>
      <c r="N739" s="1">
        <v>2</v>
      </c>
      <c r="O739" s="4" t="s">
        <v>1936</v>
      </c>
    </row>
    <row r="740" spans="1:15" x14ac:dyDescent="0.3">
      <c r="A740" s="1" t="s">
        <v>1482</v>
      </c>
      <c r="B740" s="1" t="s">
        <v>1483</v>
      </c>
      <c r="C740" s="2">
        <v>4252.18</v>
      </c>
      <c r="D740" s="1" t="s">
        <v>17</v>
      </c>
      <c r="E740" s="1" t="s">
        <v>39</v>
      </c>
      <c r="F740" s="1" t="s">
        <v>26</v>
      </c>
      <c r="G740" s="1" t="s">
        <v>36</v>
      </c>
      <c r="H740" s="1">
        <v>158</v>
      </c>
      <c r="I740" s="1">
        <v>19</v>
      </c>
      <c r="J740" s="1">
        <v>4</v>
      </c>
      <c r="K740" s="2">
        <v>596.49</v>
      </c>
      <c r="L740" s="1">
        <v>0</v>
      </c>
      <c r="M740" s="1">
        <v>0.91400000000000003</v>
      </c>
      <c r="N740" s="1">
        <v>6</v>
      </c>
      <c r="O740" s="4" t="s">
        <v>1936</v>
      </c>
    </row>
    <row r="741" spans="1:15" x14ac:dyDescent="0.3">
      <c r="A741" s="1" t="s">
        <v>1484</v>
      </c>
      <c r="B741" s="1" t="s">
        <v>1485</v>
      </c>
      <c r="C741" s="2">
        <v>878.79</v>
      </c>
      <c r="D741" s="1" t="s">
        <v>24</v>
      </c>
      <c r="E741" s="1" t="s">
        <v>25</v>
      </c>
      <c r="F741" s="1" t="s">
        <v>19</v>
      </c>
      <c r="G741" s="1" t="s">
        <v>46</v>
      </c>
      <c r="H741" s="1">
        <v>1656</v>
      </c>
      <c r="I741" s="1">
        <v>15</v>
      </c>
      <c r="J741" s="1">
        <v>0</v>
      </c>
      <c r="K741" s="2">
        <v>28236.18</v>
      </c>
      <c r="L741" s="1">
        <v>0</v>
      </c>
      <c r="M741" s="1">
        <v>0.46899999999999997</v>
      </c>
      <c r="N741" s="1">
        <v>5</v>
      </c>
      <c r="O741" s="4" t="s">
        <v>1936</v>
      </c>
    </row>
    <row r="742" spans="1:15" x14ac:dyDescent="0.3">
      <c r="A742" s="1" t="s">
        <v>1486</v>
      </c>
      <c r="B742" s="1" t="s">
        <v>1487</v>
      </c>
      <c r="C742" s="2">
        <v>33102.85</v>
      </c>
      <c r="D742" s="1" t="s">
        <v>51</v>
      </c>
      <c r="E742" s="1" t="s">
        <v>29</v>
      </c>
      <c r="F742" s="1" t="s">
        <v>19</v>
      </c>
      <c r="G742" s="1" t="s">
        <v>56</v>
      </c>
      <c r="H742" s="1">
        <v>1565</v>
      </c>
      <c r="I742" s="1">
        <v>5</v>
      </c>
      <c r="J742" s="1">
        <v>4</v>
      </c>
      <c r="K742" s="2">
        <v>21554.54</v>
      </c>
      <c r="L742" s="1">
        <v>0</v>
      </c>
      <c r="M742" s="1">
        <v>0.109</v>
      </c>
      <c r="N742" s="1">
        <v>6</v>
      </c>
      <c r="O742" s="4" t="s">
        <v>1936</v>
      </c>
    </row>
    <row r="743" spans="1:15" x14ac:dyDescent="0.3">
      <c r="A743" s="1" t="s">
        <v>1488</v>
      </c>
      <c r="B743" s="1" t="s">
        <v>1489</v>
      </c>
      <c r="C743" s="2">
        <v>10595.74</v>
      </c>
      <c r="D743" s="1" t="s">
        <v>51</v>
      </c>
      <c r="E743" s="1" t="s">
        <v>29</v>
      </c>
      <c r="F743" s="1" t="s">
        <v>26</v>
      </c>
      <c r="G743" s="1" t="s">
        <v>46</v>
      </c>
      <c r="H743" s="1">
        <v>1063</v>
      </c>
      <c r="I743" s="1">
        <v>8</v>
      </c>
      <c r="J743" s="1">
        <v>0</v>
      </c>
      <c r="K743" s="2">
        <v>11759.77</v>
      </c>
      <c r="L743" s="1">
        <v>0</v>
      </c>
      <c r="M743" s="1">
        <v>5.7000000000000002E-2</v>
      </c>
      <c r="N743" s="1">
        <v>9</v>
      </c>
      <c r="O743" s="4" t="s">
        <v>1936</v>
      </c>
    </row>
    <row r="744" spans="1:15" x14ac:dyDescent="0.3">
      <c r="A744" s="1" t="s">
        <v>1490</v>
      </c>
      <c r="B744" s="1" t="s">
        <v>1491</v>
      </c>
      <c r="C744" s="2">
        <v>38020.04</v>
      </c>
      <c r="D744" s="1" t="s">
        <v>24</v>
      </c>
      <c r="E744" s="1" t="s">
        <v>25</v>
      </c>
      <c r="F744" s="1" t="s">
        <v>19</v>
      </c>
      <c r="G744" s="1" t="s">
        <v>56</v>
      </c>
      <c r="H744" s="1">
        <v>329</v>
      </c>
      <c r="I744" s="1">
        <v>21</v>
      </c>
      <c r="J744" s="1">
        <v>3</v>
      </c>
      <c r="K744" s="2">
        <v>19562.95</v>
      </c>
      <c r="L744" s="1">
        <v>1</v>
      </c>
      <c r="M744" s="1">
        <v>0.17599999999999999</v>
      </c>
      <c r="N744" s="1">
        <v>3</v>
      </c>
      <c r="O744" s="4" t="s">
        <v>1936</v>
      </c>
    </row>
    <row r="745" spans="1:15" x14ac:dyDescent="0.3">
      <c r="A745" s="1" t="s">
        <v>1492</v>
      </c>
      <c r="B745" s="1" t="s">
        <v>1493</v>
      </c>
      <c r="C745" s="2">
        <v>49629.46</v>
      </c>
      <c r="D745" s="1" t="s">
        <v>24</v>
      </c>
      <c r="E745" s="1" t="s">
        <v>29</v>
      </c>
      <c r="F745" s="1" t="s">
        <v>30</v>
      </c>
      <c r="G745" s="1" t="s">
        <v>56</v>
      </c>
      <c r="H745" s="1">
        <v>306</v>
      </c>
      <c r="I745" s="1">
        <v>0</v>
      </c>
      <c r="J745" s="1">
        <v>1</v>
      </c>
      <c r="K745" s="2">
        <v>13955.26</v>
      </c>
      <c r="L745" s="1">
        <v>0</v>
      </c>
      <c r="M745" s="1">
        <v>0.42299999999999999</v>
      </c>
      <c r="N745" s="1">
        <v>3</v>
      </c>
      <c r="O745" s="4" t="s">
        <v>1936</v>
      </c>
    </row>
    <row r="746" spans="1:15" x14ac:dyDescent="0.3">
      <c r="A746" s="1" t="s">
        <v>1494</v>
      </c>
      <c r="B746" s="1" t="s">
        <v>1495</v>
      </c>
      <c r="C746" s="2">
        <v>20588.96</v>
      </c>
      <c r="D746" s="1" t="s">
        <v>51</v>
      </c>
      <c r="E746" s="1" t="s">
        <v>25</v>
      </c>
      <c r="F746" s="1" t="s">
        <v>19</v>
      </c>
      <c r="G746" s="1" t="s">
        <v>31</v>
      </c>
      <c r="H746" s="1">
        <v>1634</v>
      </c>
      <c r="I746" s="1">
        <v>6</v>
      </c>
      <c r="J746" s="1">
        <v>0</v>
      </c>
      <c r="K746" s="2">
        <v>27646.5</v>
      </c>
      <c r="L746" s="1">
        <v>0</v>
      </c>
      <c r="M746" s="1">
        <v>0.184</v>
      </c>
      <c r="N746" s="1">
        <v>9</v>
      </c>
      <c r="O746" s="4" t="s">
        <v>1936</v>
      </c>
    </row>
    <row r="747" spans="1:15" x14ac:dyDescent="0.3">
      <c r="A747" s="1" t="s">
        <v>1496</v>
      </c>
      <c r="B747" s="1" t="s">
        <v>1497</v>
      </c>
      <c r="C747" s="2">
        <v>859.21</v>
      </c>
      <c r="D747" s="1" t="s">
        <v>51</v>
      </c>
      <c r="E747" s="1" t="s">
        <v>29</v>
      </c>
      <c r="F747" s="1" t="s">
        <v>26</v>
      </c>
      <c r="G747" s="1" t="s">
        <v>31</v>
      </c>
      <c r="H747" s="1">
        <v>1733</v>
      </c>
      <c r="I747" s="1">
        <v>9</v>
      </c>
      <c r="J747" s="1">
        <v>4</v>
      </c>
      <c r="K747" s="2">
        <v>7724.17</v>
      </c>
      <c r="L747" s="1">
        <v>0</v>
      </c>
      <c r="M747" s="1">
        <v>0.48599999999999999</v>
      </c>
      <c r="N747" s="1">
        <v>6</v>
      </c>
      <c r="O747" s="4" t="s">
        <v>1936</v>
      </c>
    </row>
    <row r="748" spans="1:15" x14ac:dyDescent="0.3">
      <c r="A748" s="1" t="s">
        <v>1498</v>
      </c>
      <c r="B748" s="1" t="s">
        <v>1499</v>
      </c>
      <c r="C748" s="2">
        <v>33708.25</v>
      </c>
      <c r="D748" s="1" t="s">
        <v>51</v>
      </c>
      <c r="E748" s="1" t="s">
        <v>25</v>
      </c>
      <c r="F748" s="1" t="s">
        <v>19</v>
      </c>
      <c r="G748" s="1" t="s">
        <v>56</v>
      </c>
      <c r="H748" s="1">
        <v>972</v>
      </c>
      <c r="I748" s="1">
        <v>2</v>
      </c>
      <c r="J748" s="1">
        <v>1</v>
      </c>
      <c r="K748" s="2">
        <v>10612.25</v>
      </c>
      <c r="L748" s="1">
        <v>0</v>
      </c>
      <c r="M748" s="1">
        <v>0.64500000000000002</v>
      </c>
      <c r="N748" s="1">
        <v>4</v>
      </c>
      <c r="O748" s="4" t="s">
        <v>1936</v>
      </c>
    </row>
    <row r="749" spans="1:15" x14ac:dyDescent="0.3">
      <c r="A749" s="1" t="s">
        <v>1500</v>
      </c>
      <c r="B749" s="1" t="s">
        <v>1501</v>
      </c>
      <c r="C749" s="2">
        <v>29693.4</v>
      </c>
      <c r="D749" s="1" t="s">
        <v>51</v>
      </c>
      <c r="E749" s="1" t="s">
        <v>25</v>
      </c>
      <c r="F749" s="1" t="s">
        <v>30</v>
      </c>
      <c r="G749" s="1" t="s">
        <v>20</v>
      </c>
      <c r="H749" s="1">
        <v>155</v>
      </c>
      <c r="I749" s="1">
        <v>12</v>
      </c>
      <c r="J749" s="1">
        <v>3</v>
      </c>
      <c r="K749" s="2">
        <v>6574.39</v>
      </c>
      <c r="L749" s="1">
        <v>0</v>
      </c>
      <c r="M749" s="1">
        <v>0.20699999999999999</v>
      </c>
      <c r="N749" s="1">
        <v>6</v>
      </c>
      <c r="O749" s="4" t="s">
        <v>1936</v>
      </c>
    </row>
    <row r="750" spans="1:15" x14ac:dyDescent="0.3">
      <c r="A750" s="1" t="s">
        <v>1502</v>
      </c>
      <c r="B750" s="1" t="s">
        <v>1503</v>
      </c>
      <c r="C750" s="2">
        <v>5216.53</v>
      </c>
      <c r="D750" s="1" t="s">
        <v>24</v>
      </c>
      <c r="E750" s="1" t="s">
        <v>18</v>
      </c>
      <c r="F750" s="1" t="s">
        <v>26</v>
      </c>
      <c r="G750" s="1" t="s">
        <v>20</v>
      </c>
      <c r="H750" s="1">
        <v>1339</v>
      </c>
      <c r="I750" s="1">
        <v>0</v>
      </c>
      <c r="J750" s="1">
        <v>0</v>
      </c>
      <c r="K750" s="2">
        <v>15054.03</v>
      </c>
      <c r="L750" s="1">
        <v>0</v>
      </c>
      <c r="M750" s="1">
        <v>0.73099999999999998</v>
      </c>
      <c r="N750" s="1">
        <v>2</v>
      </c>
      <c r="O750" s="4" t="s">
        <v>1936</v>
      </c>
    </row>
    <row r="751" spans="1:15" x14ac:dyDescent="0.3">
      <c r="A751" s="1" t="s">
        <v>1504</v>
      </c>
      <c r="B751" s="1" t="s">
        <v>1505</v>
      </c>
      <c r="C751" s="2">
        <v>39002.050000000003</v>
      </c>
      <c r="D751" s="1" t="s">
        <v>51</v>
      </c>
      <c r="E751" s="1" t="s">
        <v>39</v>
      </c>
      <c r="F751" s="1" t="s">
        <v>26</v>
      </c>
      <c r="G751" s="1" t="s">
        <v>46</v>
      </c>
      <c r="H751" s="1">
        <v>767</v>
      </c>
      <c r="I751" s="1">
        <v>17</v>
      </c>
      <c r="J751" s="1">
        <v>1</v>
      </c>
      <c r="K751" s="2">
        <v>13434.34</v>
      </c>
      <c r="L751" s="1">
        <v>1</v>
      </c>
      <c r="M751" s="1">
        <v>0.58899999999999997</v>
      </c>
      <c r="N751" s="1">
        <v>9</v>
      </c>
      <c r="O751" s="4" t="s">
        <v>1936</v>
      </c>
    </row>
    <row r="752" spans="1:15" x14ac:dyDescent="0.3">
      <c r="A752" s="1" t="s">
        <v>1506</v>
      </c>
      <c r="B752" s="1" t="s">
        <v>1507</v>
      </c>
      <c r="C752" s="2">
        <v>6703.84</v>
      </c>
      <c r="D752" s="1" t="s">
        <v>17</v>
      </c>
      <c r="E752" s="1" t="s">
        <v>18</v>
      </c>
      <c r="F752" s="1" t="s">
        <v>19</v>
      </c>
      <c r="G752" s="1" t="s">
        <v>36</v>
      </c>
      <c r="H752" s="1">
        <v>1145</v>
      </c>
      <c r="I752" s="1">
        <v>15</v>
      </c>
      <c r="J752" s="1">
        <v>4</v>
      </c>
      <c r="K752" s="2">
        <v>2570.66</v>
      </c>
      <c r="L752" s="1">
        <v>0</v>
      </c>
      <c r="M752" s="1">
        <v>0.74399999999999999</v>
      </c>
      <c r="N752" s="1">
        <v>2</v>
      </c>
      <c r="O752" s="4" t="s">
        <v>1936</v>
      </c>
    </row>
    <row r="753" spans="1:15" x14ac:dyDescent="0.3">
      <c r="A753" s="1" t="s">
        <v>1508</v>
      </c>
      <c r="B753" s="1" t="s">
        <v>1509</v>
      </c>
      <c r="C753" s="2">
        <v>30977.68</v>
      </c>
      <c r="D753" s="1" t="s">
        <v>24</v>
      </c>
      <c r="E753" s="1" t="s">
        <v>29</v>
      </c>
      <c r="F753" s="1" t="s">
        <v>26</v>
      </c>
      <c r="G753" s="1" t="s">
        <v>20</v>
      </c>
      <c r="H753" s="1">
        <v>1328</v>
      </c>
      <c r="I753" s="1">
        <v>23</v>
      </c>
      <c r="J753" s="1">
        <v>1</v>
      </c>
      <c r="K753" s="2">
        <v>20685.28</v>
      </c>
      <c r="L753" s="1">
        <v>0</v>
      </c>
      <c r="M753" s="1">
        <v>8.0000000000000002E-3</v>
      </c>
      <c r="N753" s="1">
        <v>4</v>
      </c>
      <c r="O753" s="4" t="s">
        <v>1936</v>
      </c>
    </row>
    <row r="754" spans="1:15" x14ac:dyDescent="0.3">
      <c r="A754" s="1" t="s">
        <v>1510</v>
      </c>
      <c r="B754" s="1" t="s">
        <v>1511</v>
      </c>
      <c r="C754" s="2">
        <v>4347.3100000000004</v>
      </c>
      <c r="D754" s="1" t="s">
        <v>51</v>
      </c>
      <c r="E754" s="1" t="s">
        <v>25</v>
      </c>
      <c r="F754" s="1" t="s">
        <v>19</v>
      </c>
      <c r="G754" s="1" t="s">
        <v>20</v>
      </c>
      <c r="H754" s="1">
        <v>933</v>
      </c>
      <c r="I754" s="1">
        <v>20</v>
      </c>
      <c r="J754" s="1">
        <v>2</v>
      </c>
      <c r="K754" s="2">
        <v>18512.57</v>
      </c>
      <c r="L754" s="1">
        <v>0</v>
      </c>
      <c r="M754" s="1">
        <v>0.95899999999999996</v>
      </c>
      <c r="N754" s="1">
        <v>7</v>
      </c>
      <c r="O754" s="4" t="s">
        <v>1936</v>
      </c>
    </row>
    <row r="755" spans="1:15" x14ac:dyDescent="0.3">
      <c r="A755" s="1" t="s">
        <v>1512</v>
      </c>
      <c r="B755" s="1" t="s">
        <v>1513</v>
      </c>
      <c r="C755" s="2">
        <v>17963.150000000001</v>
      </c>
      <c r="D755" s="1" t="s">
        <v>24</v>
      </c>
      <c r="E755" s="1" t="s">
        <v>29</v>
      </c>
      <c r="F755" s="1" t="s">
        <v>30</v>
      </c>
      <c r="G755" s="1" t="s">
        <v>46</v>
      </c>
      <c r="H755" s="1">
        <v>747</v>
      </c>
      <c r="I755" s="1">
        <v>12</v>
      </c>
      <c r="J755" s="1">
        <v>3</v>
      </c>
      <c r="K755" s="2">
        <v>14903.56</v>
      </c>
      <c r="L755" s="1">
        <v>0</v>
      </c>
      <c r="M755" s="1">
        <v>0.245</v>
      </c>
      <c r="N755" s="1">
        <v>7</v>
      </c>
      <c r="O755" s="4" t="s">
        <v>1936</v>
      </c>
    </row>
    <row r="756" spans="1:15" x14ac:dyDescent="0.3">
      <c r="A756" s="1" t="s">
        <v>1514</v>
      </c>
      <c r="B756" s="1" t="s">
        <v>1515</v>
      </c>
      <c r="C756" s="2">
        <v>16998.3</v>
      </c>
      <c r="D756" s="1" t="s">
        <v>24</v>
      </c>
      <c r="E756" s="1" t="s">
        <v>39</v>
      </c>
      <c r="F756" s="1" t="s">
        <v>26</v>
      </c>
      <c r="G756" s="1" t="s">
        <v>46</v>
      </c>
      <c r="H756" s="1">
        <v>206</v>
      </c>
      <c r="I756" s="1">
        <v>0</v>
      </c>
      <c r="J756" s="1">
        <v>4</v>
      </c>
      <c r="K756" s="2">
        <v>5458.22</v>
      </c>
      <c r="L756" s="1">
        <v>0</v>
      </c>
      <c r="M756" s="1">
        <v>1.2E-2</v>
      </c>
      <c r="N756" s="1">
        <v>7</v>
      </c>
      <c r="O756" s="4" t="s">
        <v>1936</v>
      </c>
    </row>
    <row r="757" spans="1:15" x14ac:dyDescent="0.3">
      <c r="A757" s="1" t="s">
        <v>1516</v>
      </c>
      <c r="B757" s="1" t="s">
        <v>1517</v>
      </c>
      <c r="C757" s="2">
        <v>36731.57</v>
      </c>
      <c r="D757" s="1" t="s">
        <v>24</v>
      </c>
      <c r="E757" s="1" t="s">
        <v>29</v>
      </c>
      <c r="F757" s="1" t="s">
        <v>19</v>
      </c>
      <c r="G757" s="1" t="s">
        <v>20</v>
      </c>
      <c r="H757" s="1">
        <v>188</v>
      </c>
      <c r="I757" s="1">
        <v>10</v>
      </c>
      <c r="J757" s="1">
        <v>4</v>
      </c>
      <c r="K757" s="2">
        <v>15779.77</v>
      </c>
      <c r="L757" s="1">
        <v>0</v>
      </c>
      <c r="M757" s="1">
        <v>0.39600000000000002</v>
      </c>
      <c r="N757" s="1">
        <v>1</v>
      </c>
      <c r="O757" s="4" t="s">
        <v>1936</v>
      </c>
    </row>
    <row r="758" spans="1:15" x14ac:dyDescent="0.3">
      <c r="A758" s="1" t="s">
        <v>1518</v>
      </c>
      <c r="B758" s="1" t="s">
        <v>889</v>
      </c>
      <c r="C758" s="2">
        <v>27640.69</v>
      </c>
      <c r="D758" s="1" t="s">
        <v>51</v>
      </c>
      <c r="E758" s="1" t="s">
        <v>29</v>
      </c>
      <c r="F758" s="1" t="s">
        <v>19</v>
      </c>
      <c r="G758" s="1" t="s">
        <v>46</v>
      </c>
      <c r="H758" s="1">
        <v>941</v>
      </c>
      <c r="I758" s="1">
        <v>3</v>
      </c>
      <c r="J758" s="1">
        <v>3</v>
      </c>
      <c r="K758" s="2">
        <v>21009.89</v>
      </c>
      <c r="L758" s="1">
        <v>0</v>
      </c>
      <c r="M758" s="1">
        <v>0.13600000000000001</v>
      </c>
      <c r="N758" s="1">
        <v>4</v>
      </c>
      <c r="O758" s="4" t="s">
        <v>1936</v>
      </c>
    </row>
    <row r="759" spans="1:15" x14ac:dyDescent="0.3">
      <c r="A759" s="1" t="s">
        <v>1519</v>
      </c>
      <c r="B759" s="1" t="s">
        <v>1520</v>
      </c>
      <c r="C759" s="2">
        <v>43602.06</v>
      </c>
      <c r="D759" s="1" t="s">
        <v>24</v>
      </c>
      <c r="E759" s="1" t="s">
        <v>29</v>
      </c>
      <c r="F759" s="1" t="s">
        <v>26</v>
      </c>
      <c r="G759" s="1" t="s">
        <v>46</v>
      </c>
      <c r="H759" s="1">
        <v>1698</v>
      </c>
      <c r="I759" s="1">
        <v>21</v>
      </c>
      <c r="J759" s="1">
        <v>2</v>
      </c>
      <c r="K759" s="2">
        <v>16394.419999999998</v>
      </c>
      <c r="L759" s="1">
        <v>0</v>
      </c>
      <c r="M759" s="1">
        <v>0.316</v>
      </c>
      <c r="N759" s="1">
        <v>3</v>
      </c>
      <c r="O759" s="4" t="s">
        <v>1936</v>
      </c>
    </row>
    <row r="760" spans="1:15" x14ac:dyDescent="0.3">
      <c r="A760" s="1" t="s">
        <v>1521</v>
      </c>
      <c r="B760" s="1" t="s">
        <v>1522</v>
      </c>
      <c r="C760" s="2">
        <v>4010.05</v>
      </c>
      <c r="D760" s="1" t="s">
        <v>51</v>
      </c>
      <c r="E760" s="1" t="s">
        <v>18</v>
      </c>
      <c r="F760" s="1" t="s">
        <v>19</v>
      </c>
      <c r="G760" s="1" t="s">
        <v>20</v>
      </c>
      <c r="H760" s="1">
        <v>1610</v>
      </c>
      <c r="I760" s="1">
        <v>8</v>
      </c>
      <c r="J760" s="1">
        <v>1</v>
      </c>
      <c r="K760" s="2">
        <v>3228</v>
      </c>
      <c r="L760" s="1">
        <v>0</v>
      </c>
      <c r="M760" s="1">
        <v>0.16300000000000001</v>
      </c>
      <c r="N760" s="1">
        <v>9</v>
      </c>
      <c r="O760" s="4" t="s">
        <v>1936</v>
      </c>
    </row>
    <row r="761" spans="1:15" x14ac:dyDescent="0.3">
      <c r="A761" s="1" t="s">
        <v>1523</v>
      </c>
      <c r="B761" s="1" t="s">
        <v>1524</v>
      </c>
      <c r="C761" s="2">
        <v>45405.53</v>
      </c>
      <c r="D761" s="1" t="s">
        <v>24</v>
      </c>
      <c r="E761" s="1" t="s">
        <v>29</v>
      </c>
      <c r="F761" s="1" t="s">
        <v>19</v>
      </c>
      <c r="G761" s="1" t="s">
        <v>20</v>
      </c>
      <c r="H761" s="1">
        <v>1069</v>
      </c>
      <c r="I761" s="1">
        <v>1</v>
      </c>
      <c r="J761" s="1">
        <v>4</v>
      </c>
      <c r="K761" s="2">
        <v>15421.84</v>
      </c>
      <c r="L761" s="1">
        <v>0</v>
      </c>
      <c r="M761" s="1">
        <v>0.79</v>
      </c>
      <c r="N761" s="1">
        <v>5</v>
      </c>
      <c r="O761" s="4" t="s">
        <v>1936</v>
      </c>
    </row>
    <row r="762" spans="1:15" x14ac:dyDescent="0.3">
      <c r="A762" s="1" t="s">
        <v>1525</v>
      </c>
      <c r="B762" s="1" t="s">
        <v>1526</v>
      </c>
      <c r="C762" s="2">
        <v>4076.74</v>
      </c>
      <c r="D762" s="1" t="s">
        <v>17</v>
      </c>
      <c r="E762" s="1" t="s">
        <v>39</v>
      </c>
      <c r="F762" s="1" t="s">
        <v>26</v>
      </c>
      <c r="G762" s="1" t="s">
        <v>31</v>
      </c>
      <c r="H762" s="1">
        <v>1380</v>
      </c>
      <c r="I762" s="1">
        <v>14</v>
      </c>
      <c r="J762" s="1">
        <v>4</v>
      </c>
      <c r="K762" s="2">
        <v>25511.63</v>
      </c>
      <c r="L762" s="1">
        <v>0</v>
      </c>
      <c r="M762" s="1">
        <v>0.76700000000000002</v>
      </c>
      <c r="N762" s="1">
        <v>7</v>
      </c>
      <c r="O762" s="4" t="s">
        <v>1936</v>
      </c>
    </row>
    <row r="763" spans="1:15" x14ac:dyDescent="0.3">
      <c r="A763" s="1" t="s">
        <v>1527</v>
      </c>
      <c r="B763" s="1" t="s">
        <v>1528</v>
      </c>
      <c r="C763" s="2">
        <v>4055.33</v>
      </c>
      <c r="D763" s="1" t="s">
        <v>17</v>
      </c>
      <c r="E763" s="1" t="s">
        <v>29</v>
      </c>
      <c r="F763" s="1" t="s">
        <v>26</v>
      </c>
      <c r="G763" s="1" t="s">
        <v>36</v>
      </c>
      <c r="H763" s="1">
        <v>756</v>
      </c>
      <c r="I763" s="1">
        <v>20</v>
      </c>
      <c r="J763" s="1">
        <v>3</v>
      </c>
      <c r="K763" s="2">
        <v>21933.19</v>
      </c>
      <c r="L763" s="1">
        <v>0</v>
      </c>
      <c r="M763" s="1">
        <v>0.68400000000000005</v>
      </c>
      <c r="N763" s="1">
        <v>4</v>
      </c>
      <c r="O763" s="4" t="s">
        <v>1936</v>
      </c>
    </row>
    <row r="764" spans="1:15" x14ac:dyDescent="0.3">
      <c r="A764" s="1" t="s">
        <v>1529</v>
      </c>
      <c r="B764" s="1" t="s">
        <v>1530</v>
      </c>
      <c r="C764" s="2">
        <v>41441.21</v>
      </c>
      <c r="D764" s="1" t="s">
        <v>51</v>
      </c>
      <c r="E764" s="1" t="s">
        <v>29</v>
      </c>
      <c r="F764" s="1" t="s">
        <v>30</v>
      </c>
      <c r="G764" s="1" t="s">
        <v>31</v>
      </c>
      <c r="H764" s="1">
        <v>840</v>
      </c>
      <c r="I764" s="1">
        <v>3</v>
      </c>
      <c r="J764" s="1">
        <v>4</v>
      </c>
      <c r="K764" s="2">
        <v>18967.439999999999</v>
      </c>
      <c r="L764" s="1">
        <v>0</v>
      </c>
      <c r="M764" s="1">
        <v>0.68600000000000005</v>
      </c>
      <c r="N764" s="1">
        <v>1</v>
      </c>
      <c r="O764" s="4" t="s">
        <v>1936</v>
      </c>
    </row>
    <row r="765" spans="1:15" x14ac:dyDescent="0.3">
      <c r="A765" s="1" t="s">
        <v>1531</v>
      </c>
      <c r="B765" s="1" t="s">
        <v>1532</v>
      </c>
      <c r="C765" s="2">
        <v>39184.300000000003</v>
      </c>
      <c r="D765" s="1" t="s">
        <v>24</v>
      </c>
      <c r="E765" s="1" t="s">
        <v>18</v>
      </c>
      <c r="F765" s="1" t="s">
        <v>19</v>
      </c>
      <c r="G765" s="1" t="s">
        <v>56</v>
      </c>
      <c r="H765" s="1">
        <v>767</v>
      </c>
      <c r="I765" s="1">
        <v>9</v>
      </c>
      <c r="J765" s="1">
        <v>4</v>
      </c>
      <c r="K765" s="2">
        <v>12253.21</v>
      </c>
      <c r="L765" s="1">
        <v>0</v>
      </c>
      <c r="M765" s="1">
        <v>0.79900000000000004</v>
      </c>
      <c r="N765" s="1">
        <v>6</v>
      </c>
      <c r="O765" s="4" t="s">
        <v>1936</v>
      </c>
    </row>
    <row r="766" spans="1:15" x14ac:dyDescent="0.3">
      <c r="A766" s="1" t="s">
        <v>1533</v>
      </c>
      <c r="B766" s="1" t="s">
        <v>1534</v>
      </c>
      <c r="C766" s="2">
        <v>29993.08</v>
      </c>
      <c r="D766" s="1" t="s">
        <v>17</v>
      </c>
      <c r="E766" s="1" t="s">
        <v>29</v>
      </c>
      <c r="F766" s="1" t="s">
        <v>30</v>
      </c>
      <c r="G766" s="1" t="s">
        <v>46</v>
      </c>
      <c r="H766" s="1">
        <v>1964</v>
      </c>
      <c r="I766" s="1">
        <v>9</v>
      </c>
      <c r="J766" s="1">
        <v>0</v>
      </c>
      <c r="K766" s="2">
        <v>21533.14</v>
      </c>
      <c r="L766" s="1">
        <v>0</v>
      </c>
      <c r="M766" s="1">
        <v>0.99099999999999999</v>
      </c>
      <c r="N766" s="1">
        <v>2</v>
      </c>
      <c r="O766" s="4" t="s">
        <v>1936</v>
      </c>
    </row>
    <row r="767" spans="1:15" x14ac:dyDescent="0.3">
      <c r="A767" s="1" t="s">
        <v>1535</v>
      </c>
      <c r="B767" s="1" t="s">
        <v>1536</v>
      </c>
      <c r="C767" s="2">
        <v>27756.62</v>
      </c>
      <c r="D767" s="1" t="s">
        <v>51</v>
      </c>
      <c r="E767" s="1" t="s">
        <v>29</v>
      </c>
      <c r="F767" s="1" t="s">
        <v>26</v>
      </c>
      <c r="G767" s="1" t="s">
        <v>56</v>
      </c>
      <c r="H767" s="1">
        <v>1393</v>
      </c>
      <c r="I767" s="1">
        <v>6</v>
      </c>
      <c r="J767" s="1">
        <v>1</v>
      </c>
      <c r="K767" s="2">
        <v>5363.83</v>
      </c>
      <c r="L767" s="1">
        <v>0</v>
      </c>
      <c r="M767" s="1">
        <v>0.41199999999999998</v>
      </c>
      <c r="N767" s="1">
        <v>7</v>
      </c>
      <c r="O767" s="4" t="s">
        <v>1936</v>
      </c>
    </row>
    <row r="768" spans="1:15" x14ac:dyDescent="0.3">
      <c r="A768" s="1" t="s">
        <v>1537</v>
      </c>
      <c r="B768" s="1" t="s">
        <v>1538</v>
      </c>
      <c r="C768" s="2">
        <v>11063.36</v>
      </c>
      <c r="D768" s="1" t="s">
        <v>17</v>
      </c>
      <c r="E768" s="1" t="s">
        <v>18</v>
      </c>
      <c r="F768" s="1" t="s">
        <v>26</v>
      </c>
      <c r="G768" s="1" t="s">
        <v>56</v>
      </c>
      <c r="H768" s="1">
        <v>1909</v>
      </c>
      <c r="I768" s="1">
        <v>14</v>
      </c>
      <c r="J768" s="1">
        <v>2</v>
      </c>
      <c r="K768" s="2">
        <v>20657.84</v>
      </c>
      <c r="L768" s="1">
        <v>0</v>
      </c>
      <c r="M768" s="1">
        <v>0.21199999999999999</v>
      </c>
      <c r="N768" s="1">
        <v>1</v>
      </c>
      <c r="O768" s="4" t="s">
        <v>1936</v>
      </c>
    </row>
    <row r="769" spans="1:15" x14ac:dyDescent="0.3">
      <c r="A769" s="1" t="s">
        <v>1539</v>
      </c>
      <c r="B769" s="1" t="s">
        <v>1540</v>
      </c>
      <c r="C769" s="2">
        <v>9282.68</v>
      </c>
      <c r="D769" s="1" t="s">
        <v>51</v>
      </c>
      <c r="E769" s="1" t="s">
        <v>18</v>
      </c>
      <c r="F769" s="1" t="s">
        <v>19</v>
      </c>
      <c r="G769" s="1" t="s">
        <v>56</v>
      </c>
      <c r="H769" s="1">
        <v>974</v>
      </c>
      <c r="I769" s="1">
        <v>21</v>
      </c>
      <c r="J769" s="1">
        <v>0</v>
      </c>
      <c r="K769" s="2">
        <v>17357.47</v>
      </c>
      <c r="L769" s="1">
        <v>0</v>
      </c>
      <c r="M769" s="1">
        <v>0.33600000000000002</v>
      </c>
      <c r="N769" s="1">
        <v>6</v>
      </c>
      <c r="O769" s="4" t="s">
        <v>1936</v>
      </c>
    </row>
    <row r="770" spans="1:15" x14ac:dyDescent="0.3">
      <c r="A770" s="1" t="s">
        <v>1541</v>
      </c>
      <c r="B770" s="1" t="s">
        <v>1542</v>
      </c>
      <c r="C770" s="2">
        <v>26193.9</v>
      </c>
      <c r="D770" s="1" t="s">
        <v>17</v>
      </c>
      <c r="E770" s="1" t="s">
        <v>25</v>
      </c>
      <c r="F770" s="1" t="s">
        <v>19</v>
      </c>
      <c r="G770" s="1" t="s">
        <v>36</v>
      </c>
      <c r="H770" s="1">
        <v>1260</v>
      </c>
      <c r="I770" s="1">
        <v>9</v>
      </c>
      <c r="J770" s="1">
        <v>3</v>
      </c>
      <c r="K770" s="2">
        <v>4580.74</v>
      </c>
      <c r="L770" s="1">
        <v>0</v>
      </c>
      <c r="M770" s="1">
        <v>0.65800000000000003</v>
      </c>
      <c r="N770" s="1">
        <v>1</v>
      </c>
      <c r="O770" s="4" t="s">
        <v>1936</v>
      </c>
    </row>
    <row r="771" spans="1:15" x14ac:dyDescent="0.3">
      <c r="A771" s="1" t="s">
        <v>1543</v>
      </c>
      <c r="B771" s="1" t="s">
        <v>1544</v>
      </c>
      <c r="C771" s="2">
        <v>33342.769999999997</v>
      </c>
      <c r="D771" s="1" t="s">
        <v>51</v>
      </c>
      <c r="E771" s="1" t="s">
        <v>29</v>
      </c>
      <c r="F771" s="1" t="s">
        <v>26</v>
      </c>
      <c r="G771" s="1" t="s">
        <v>20</v>
      </c>
      <c r="H771" s="1">
        <v>1801</v>
      </c>
      <c r="I771" s="1">
        <v>0</v>
      </c>
      <c r="J771" s="1">
        <v>3</v>
      </c>
      <c r="K771" s="2">
        <v>4146.8100000000004</v>
      </c>
      <c r="L771" s="1">
        <v>0</v>
      </c>
      <c r="M771" s="1">
        <v>0.86299999999999999</v>
      </c>
      <c r="N771" s="1">
        <v>1</v>
      </c>
      <c r="O771" s="4" t="s">
        <v>1936</v>
      </c>
    </row>
    <row r="772" spans="1:15" x14ac:dyDescent="0.3">
      <c r="A772" s="1" t="s">
        <v>1545</v>
      </c>
      <c r="B772" s="1" t="s">
        <v>1546</v>
      </c>
      <c r="C772" s="2">
        <v>34231.5</v>
      </c>
      <c r="D772" s="1" t="s">
        <v>17</v>
      </c>
      <c r="E772" s="1" t="s">
        <v>18</v>
      </c>
      <c r="F772" s="1" t="s">
        <v>30</v>
      </c>
      <c r="G772" s="1" t="s">
        <v>56</v>
      </c>
      <c r="H772" s="1">
        <v>502</v>
      </c>
      <c r="I772" s="1">
        <v>16</v>
      </c>
      <c r="J772" s="1">
        <v>1</v>
      </c>
      <c r="K772" s="2">
        <v>25020.16</v>
      </c>
      <c r="L772" s="1">
        <v>0</v>
      </c>
      <c r="M772" s="1">
        <v>0.45200000000000001</v>
      </c>
      <c r="N772" s="1">
        <v>7</v>
      </c>
      <c r="O772" s="4" t="s">
        <v>1936</v>
      </c>
    </row>
    <row r="773" spans="1:15" x14ac:dyDescent="0.3">
      <c r="A773" s="1" t="s">
        <v>1547</v>
      </c>
      <c r="B773" s="1" t="s">
        <v>1548</v>
      </c>
      <c r="C773" s="2">
        <v>3884.07</v>
      </c>
      <c r="D773" s="1" t="s">
        <v>17</v>
      </c>
      <c r="E773" s="1" t="s">
        <v>18</v>
      </c>
      <c r="F773" s="1" t="s">
        <v>26</v>
      </c>
      <c r="G773" s="1" t="s">
        <v>56</v>
      </c>
      <c r="H773" s="1">
        <v>1890</v>
      </c>
      <c r="I773" s="1">
        <v>9</v>
      </c>
      <c r="J773" s="1">
        <v>4</v>
      </c>
      <c r="K773" s="2">
        <v>8043.09</v>
      </c>
      <c r="L773" s="1">
        <v>0</v>
      </c>
      <c r="M773" s="1">
        <v>0.95899999999999996</v>
      </c>
      <c r="N773" s="1">
        <v>7</v>
      </c>
      <c r="O773" s="4" t="s">
        <v>1936</v>
      </c>
    </row>
    <row r="774" spans="1:15" x14ac:dyDescent="0.3">
      <c r="A774" s="1" t="s">
        <v>1549</v>
      </c>
      <c r="B774" s="1" t="s">
        <v>1550</v>
      </c>
      <c r="C774" s="2">
        <v>32108.880000000001</v>
      </c>
      <c r="D774" s="1" t="s">
        <v>24</v>
      </c>
      <c r="E774" s="1" t="s">
        <v>25</v>
      </c>
      <c r="F774" s="1" t="s">
        <v>26</v>
      </c>
      <c r="G774" s="1" t="s">
        <v>46</v>
      </c>
      <c r="H774" s="1">
        <v>1200</v>
      </c>
      <c r="I774" s="1">
        <v>17</v>
      </c>
      <c r="J774" s="1">
        <v>1</v>
      </c>
      <c r="K774" s="2">
        <v>17961.71</v>
      </c>
      <c r="L774" s="1">
        <v>0</v>
      </c>
      <c r="M774" s="1">
        <v>0.46400000000000002</v>
      </c>
      <c r="N774" s="1">
        <v>8</v>
      </c>
      <c r="O774" s="4" t="s">
        <v>1936</v>
      </c>
    </row>
    <row r="775" spans="1:15" x14ac:dyDescent="0.3">
      <c r="A775" s="1" t="s">
        <v>1551</v>
      </c>
      <c r="B775" s="1" t="s">
        <v>1552</v>
      </c>
      <c r="C775" s="2">
        <v>16801.810000000001</v>
      </c>
      <c r="D775" s="1" t="s">
        <v>51</v>
      </c>
      <c r="E775" s="1" t="s">
        <v>39</v>
      </c>
      <c r="F775" s="1" t="s">
        <v>19</v>
      </c>
      <c r="G775" s="1" t="s">
        <v>46</v>
      </c>
      <c r="H775" s="1">
        <v>1565</v>
      </c>
      <c r="I775" s="1">
        <v>9</v>
      </c>
      <c r="J775" s="1">
        <v>1</v>
      </c>
      <c r="K775" s="2">
        <v>10045.129999999999</v>
      </c>
      <c r="L775" s="1">
        <v>0</v>
      </c>
      <c r="M775" s="1">
        <v>0.26</v>
      </c>
      <c r="N775" s="1">
        <v>7</v>
      </c>
      <c r="O775" s="4" t="s">
        <v>1936</v>
      </c>
    </row>
    <row r="776" spans="1:15" x14ac:dyDescent="0.3">
      <c r="A776" s="1" t="s">
        <v>1553</v>
      </c>
      <c r="B776" s="1" t="s">
        <v>1554</v>
      </c>
      <c r="C776" s="2">
        <v>11884.35</v>
      </c>
      <c r="D776" s="1" t="s">
        <v>17</v>
      </c>
      <c r="E776" s="1" t="s">
        <v>18</v>
      </c>
      <c r="F776" s="1" t="s">
        <v>26</v>
      </c>
      <c r="G776" s="1" t="s">
        <v>56</v>
      </c>
      <c r="H776" s="1">
        <v>1474</v>
      </c>
      <c r="I776" s="1">
        <v>6</v>
      </c>
      <c r="J776" s="1">
        <v>0</v>
      </c>
      <c r="K776" s="2">
        <v>19093.46</v>
      </c>
      <c r="L776" s="1">
        <v>0</v>
      </c>
      <c r="M776" s="1">
        <v>0.36199999999999999</v>
      </c>
      <c r="N776" s="1">
        <v>6</v>
      </c>
      <c r="O776" s="4" t="s">
        <v>1936</v>
      </c>
    </row>
    <row r="777" spans="1:15" x14ac:dyDescent="0.3">
      <c r="A777" s="1" t="s">
        <v>1555</v>
      </c>
      <c r="B777" s="1" t="s">
        <v>1556</v>
      </c>
      <c r="C777" s="2">
        <v>19996.66</v>
      </c>
      <c r="D777" s="1" t="s">
        <v>17</v>
      </c>
      <c r="E777" s="1" t="s">
        <v>39</v>
      </c>
      <c r="F777" s="1" t="s">
        <v>30</v>
      </c>
      <c r="G777" s="1" t="s">
        <v>20</v>
      </c>
      <c r="H777" s="1">
        <v>1389</v>
      </c>
      <c r="I777" s="1">
        <v>12</v>
      </c>
      <c r="J777" s="1">
        <v>2</v>
      </c>
      <c r="K777" s="2">
        <v>16236.69</v>
      </c>
      <c r="L777" s="1">
        <v>0</v>
      </c>
      <c r="M777" s="1">
        <v>0.27900000000000003</v>
      </c>
      <c r="N777" s="1">
        <v>9</v>
      </c>
      <c r="O777" s="4" t="s">
        <v>1936</v>
      </c>
    </row>
    <row r="778" spans="1:15" x14ac:dyDescent="0.3">
      <c r="A778" s="1" t="s">
        <v>1557</v>
      </c>
      <c r="B778" s="1" t="s">
        <v>1558</v>
      </c>
      <c r="C778" s="2">
        <v>39967.94</v>
      </c>
      <c r="D778" s="1" t="s">
        <v>51</v>
      </c>
      <c r="E778" s="1" t="s">
        <v>29</v>
      </c>
      <c r="F778" s="1" t="s">
        <v>19</v>
      </c>
      <c r="G778" s="1" t="s">
        <v>20</v>
      </c>
      <c r="H778" s="1">
        <v>1583</v>
      </c>
      <c r="I778" s="1">
        <v>3</v>
      </c>
      <c r="J778" s="1">
        <v>3</v>
      </c>
      <c r="K778" s="2">
        <v>14138.14</v>
      </c>
      <c r="L778" s="1">
        <v>0</v>
      </c>
      <c r="M778" s="1">
        <v>0.46600000000000003</v>
      </c>
      <c r="N778" s="1">
        <v>7</v>
      </c>
      <c r="O778" s="4" t="s">
        <v>1936</v>
      </c>
    </row>
    <row r="779" spans="1:15" x14ac:dyDescent="0.3">
      <c r="A779" s="1" t="s">
        <v>1559</v>
      </c>
      <c r="B779" s="1" t="s">
        <v>1560</v>
      </c>
      <c r="C779" s="2">
        <v>47466.19</v>
      </c>
      <c r="D779" s="1" t="s">
        <v>24</v>
      </c>
      <c r="E779" s="1" t="s">
        <v>29</v>
      </c>
      <c r="F779" s="1" t="s">
        <v>30</v>
      </c>
      <c r="G779" s="1" t="s">
        <v>20</v>
      </c>
      <c r="H779" s="1">
        <v>1164</v>
      </c>
      <c r="I779" s="1">
        <v>8</v>
      </c>
      <c r="J779" s="1">
        <v>2</v>
      </c>
      <c r="K779" s="2">
        <v>15341.51</v>
      </c>
      <c r="L779" s="1">
        <v>0</v>
      </c>
      <c r="M779" s="1">
        <v>0.87</v>
      </c>
      <c r="N779" s="1">
        <v>3</v>
      </c>
      <c r="O779" s="4" t="s">
        <v>1936</v>
      </c>
    </row>
    <row r="780" spans="1:15" x14ac:dyDescent="0.3">
      <c r="A780" s="1" t="s">
        <v>1561</v>
      </c>
      <c r="B780" s="1" t="s">
        <v>1562</v>
      </c>
      <c r="C780" s="2">
        <v>17773.849999999999</v>
      </c>
      <c r="D780" s="1" t="s">
        <v>17</v>
      </c>
      <c r="E780" s="1" t="s">
        <v>29</v>
      </c>
      <c r="F780" s="1" t="s">
        <v>30</v>
      </c>
      <c r="G780" s="1" t="s">
        <v>46</v>
      </c>
      <c r="H780" s="1">
        <v>539</v>
      </c>
      <c r="I780" s="1">
        <v>0</v>
      </c>
      <c r="J780" s="1">
        <v>1</v>
      </c>
      <c r="K780" s="2">
        <v>18143.349999999999</v>
      </c>
      <c r="L780" s="1">
        <v>0</v>
      </c>
      <c r="M780" s="1">
        <v>0.16500000000000001</v>
      </c>
      <c r="N780" s="1">
        <v>1</v>
      </c>
      <c r="O780" s="4" t="s">
        <v>1936</v>
      </c>
    </row>
    <row r="781" spans="1:15" x14ac:dyDescent="0.3">
      <c r="A781" s="1" t="s">
        <v>1563</v>
      </c>
      <c r="B781" s="1" t="s">
        <v>1564</v>
      </c>
      <c r="C781" s="2">
        <v>29985</v>
      </c>
      <c r="D781" s="1" t="s">
        <v>17</v>
      </c>
      <c r="E781" s="1" t="s">
        <v>18</v>
      </c>
      <c r="F781" s="1" t="s">
        <v>19</v>
      </c>
      <c r="G781" s="1" t="s">
        <v>56</v>
      </c>
      <c r="H781" s="1">
        <v>485</v>
      </c>
      <c r="I781" s="1">
        <v>18</v>
      </c>
      <c r="J781" s="1">
        <v>4</v>
      </c>
      <c r="K781" s="2">
        <v>14820.75</v>
      </c>
      <c r="L781" s="1">
        <v>0</v>
      </c>
      <c r="M781" s="1">
        <v>0.70299999999999996</v>
      </c>
      <c r="N781" s="1">
        <v>7</v>
      </c>
      <c r="O781" s="4" t="s">
        <v>1936</v>
      </c>
    </row>
    <row r="782" spans="1:15" x14ac:dyDescent="0.3">
      <c r="A782" s="1" t="s">
        <v>1565</v>
      </c>
      <c r="B782" s="1" t="s">
        <v>1566</v>
      </c>
      <c r="C782" s="2">
        <v>29867.41</v>
      </c>
      <c r="D782" s="1" t="s">
        <v>17</v>
      </c>
      <c r="E782" s="1" t="s">
        <v>18</v>
      </c>
      <c r="F782" s="1" t="s">
        <v>30</v>
      </c>
      <c r="G782" s="1" t="s">
        <v>20</v>
      </c>
      <c r="H782" s="1">
        <v>1108</v>
      </c>
      <c r="I782" s="1">
        <v>6</v>
      </c>
      <c r="J782" s="1">
        <v>0</v>
      </c>
      <c r="K782" s="2">
        <v>9750.33</v>
      </c>
      <c r="L782" s="1">
        <v>0</v>
      </c>
      <c r="M782" s="1">
        <v>0.98899999999999999</v>
      </c>
      <c r="N782" s="1">
        <v>5</v>
      </c>
      <c r="O782" s="4" t="s">
        <v>1936</v>
      </c>
    </row>
    <row r="783" spans="1:15" x14ac:dyDescent="0.3">
      <c r="A783" s="1" t="s">
        <v>1567</v>
      </c>
      <c r="B783" s="1" t="s">
        <v>1568</v>
      </c>
      <c r="C783" s="2">
        <v>4435.0200000000004</v>
      </c>
      <c r="D783" s="1" t="s">
        <v>24</v>
      </c>
      <c r="E783" s="1" t="s">
        <v>25</v>
      </c>
      <c r="F783" s="1" t="s">
        <v>26</v>
      </c>
      <c r="G783" s="1" t="s">
        <v>31</v>
      </c>
      <c r="H783" s="1">
        <v>1200</v>
      </c>
      <c r="I783" s="1">
        <v>4</v>
      </c>
      <c r="J783" s="1">
        <v>1</v>
      </c>
      <c r="K783" s="2">
        <v>28988.9</v>
      </c>
      <c r="L783" s="1">
        <v>0</v>
      </c>
      <c r="M783" s="1">
        <v>0.186</v>
      </c>
      <c r="N783" s="1">
        <v>1</v>
      </c>
      <c r="O783" s="4" t="s">
        <v>1936</v>
      </c>
    </row>
    <row r="784" spans="1:15" x14ac:dyDescent="0.3">
      <c r="A784" s="1" t="s">
        <v>1569</v>
      </c>
      <c r="B784" s="1" t="s">
        <v>1570</v>
      </c>
      <c r="C784" s="2">
        <v>14200.06</v>
      </c>
      <c r="D784" s="1" t="s">
        <v>51</v>
      </c>
      <c r="E784" s="1" t="s">
        <v>25</v>
      </c>
      <c r="F784" s="1" t="s">
        <v>30</v>
      </c>
      <c r="G784" s="1" t="s">
        <v>46</v>
      </c>
      <c r="H784" s="1">
        <v>1675</v>
      </c>
      <c r="I784" s="1">
        <v>4</v>
      </c>
      <c r="J784" s="1">
        <v>0</v>
      </c>
      <c r="K784" s="2">
        <v>14421</v>
      </c>
      <c r="L784" s="1">
        <v>1</v>
      </c>
      <c r="M784" s="1">
        <v>0.94799999999999995</v>
      </c>
      <c r="N784" s="1">
        <v>8</v>
      </c>
      <c r="O784" s="4" t="s">
        <v>1936</v>
      </c>
    </row>
    <row r="785" spans="1:15" x14ac:dyDescent="0.3">
      <c r="A785" s="1" t="s">
        <v>1571</v>
      </c>
      <c r="B785" s="1" t="s">
        <v>1572</v>
      </c>
      <c r="C785" s="2">
        <v>33969.379999999997</v>
      </c>
      <c r="D785" s="1" t="s">
        <v>17</v>
      </c>
      <c r="E785" s="1" t="s">
        <v>29</v>
      </c>
      <c r="F785" s="1" t="s">
        <v>26</v>
      </c>
      <c r="G785" s="1" t="s">
        <v>36</v>
      </c>
      <c r="H785" s="1">
        <v>70</v>
      </c>
      <c r="I785" s="1">
        <v>5</v>
      </c>
      <c r="J785" s="1">
        <v>0</v>
      </c>
      <c r="K785" s="2">
        <v>16433.63</v>
      </c>
      <c r="L785" s="1">
        <v>0</v>
      </c>
      <c r="M785" s="1">
        <v>0.23499999999999999</v>
      </c>
      <c r="N785" s="1">
        <v>2</v>
      </c>
      <c r="O785" s="4" t="s">
        <v>1936</v>
      </c>
    </row>
    <row r="786" spans="1:15" x14ac:dyDescent="0.3">
      <c r="A786" s="1" t="s">
        <v>1573</v>
      </c>
      <c r="B786" s="1" t="s">
        <v>1574</v>
      </c>
      <c r="C786" s="2">
        <v>46590.43</v>
      </c>
      <c r="D786" s="1" t="s">
        <v>17</v>
      </c>
      <c r="E786" s="1" t="s">
        <v>25</v>
      </c>
      <c r="F786" s="1" t="s">
        <v>30</v>
      </c>
      <c r="G786" s="1" t="s">
        <v>56</v>
      </c>
      <c r="H786" s="1">
        <v>1242</v>
      </c>
      <c r="I786" s="1">
        <v>15</v>
      </c>
      <c r="J786" s="1">
        <v>0</v>
      </c>
      <c r="K786" s="2">
        <v>10786.47</v>
      </c>
      <c r="L786" s="1">
        <v>0</v>
      </c>
      <c r="M786" s="1">
        <v>0.74199999999999999</v>
      </c>
      <c r="N786" s="1">
        <v>1</v>
      </c>
      <c r="O786" s="4" t="s">
        <v>1936</v>
      </c>
    </row>
    <row r="787" spans="1:15" x14ac:dyDescent="0.3">
      <c r="A787" s="1" t="s">
        <v>1575</v>
      </c>
      <c r="B787" s="1" t="s">
        <v>1311</v>
      </c>
      <c r="C787" s="2">
        <v>15664.27</v>
      </c>
      <c r="D787" s="1" t="s">
        <v>17</v>
      </c>
      <c r="E787" s="1" t="s">
        <v>25</v>
      </c>
      <c r="F787" s="1" t="s">
        <v>30</v>
      </c>
      <c r="G787" s="1" t="s">
        <v>56</v>
      </c>
      <c r="H787" s="1">
        <v>1924</v>
      </c>
      <c r="I787" s="1">
        <v>8</v>
      </c>
      <c r="J787" s="1">
        <v>0</v>
      </c>
      <c r="K787" s="2">
        <v>26564.83</v>
      </c>
      <c r="L787" s="1">
        <v>0</v>
      </c>
      <c r="M787" s="1">
        <v>0.95699999999999996</v>
      </c>
      <c r="N787" s="1">
        <v>5</v>
      </c>
      <c r="O787" s="4" t="s">
        <v>1936</v>
      </c>
    </row>
    <row r="788" spans="1:15" x14ac:dyDescent="0.3">
      <c r="A788" s="1" t="s">
        <v>1576</v>
      </c>
      <c r="B788" s="1" t="s">
        <v>1577</v>
      </c>
      <c r="C788" s="2">
        <v>38304.639999999999</v>
      </c>
      <c r="D788" s="1" t="s">
        <v>17</v>
      </c>
      <c r="E788" s="1" t="s">
        <v>39</v>
      </c>
      <c r="F788" s="1" t="s">
        <v>19</v>
      </c>
      <c r="G788" s="1" t="s">
        <v>20</v>
      </c>
      <c r="H788" s="1">
        <v>1913</v>
      </c>
      <c r="I788" s="1">
        <v>13</v>
      </c>
      <c r="J788" s="1">
        <v>0</v>
      </c>
      <c r="K788" s="2">
        <v>12594.08</v>
      </c>
      <c r="L788" s="1">
        <v>0</v>
      </c>
      <c r="M788" s="1">
        <v>0.33100000000000002</v>
      </c>
      <c r="N788" s="1">
        <v>8</v>
      </c>
      <c r="O788" s="4" t="s">
        <v>1936</v>
      </c>
    </row>
    <row r="789" spans="1:15" x14ac:dyDescent="0.3">
      <c r="A789" s="1" t="s">
        <v>1578</v>
      </c>
      <c r="B789" s="1" t="s">
        <v>1579</v>
      </c>
      <c r="C789" s="2">
        <v>33601.86</v>
      </c>
      <c r="D789" s="1" t="s">
        <v>24</v>
      </c>
      <c r="E789" s="1" t="s">
        <v>39</v>
      </c>
      <c r="F789" s="1" t="s">
        <v>30</v>
      </c>
      <c r="G789" s="1" t="s">
        <v>31</v>
      </c>
      <c r="H789" s="1">
        <v>1071</v>
      </c>
      <c r="I789" s="1">
        <v>11</v>
      </c>
      <c r="J789" s="1">
        <v>3</v>
      </c>
      <c r="K789" s="2">
        <v>23016.61</v>
      </c>
      <c r="L789" s="1">
        <v>0</v>
      </c>
      <c r="M789" s="1">
        <v>0.94899999999999995</v>
      </c>
      <c r="N789" s="1">
        <v>5</v>
      </c>
      <c r="O789" s="4" t="s">
        <v>1936</v>
      </c>
    </row>
    <row r="790" spans="1:15" x14ac:dyDescent="0.3">
      <c r="A790" s="1" t="s">
        <v>1580</v>
      </c>
      <c r="B790" s="1" t="s">
        <v>1581</v>
      </c>
      <c r="C790" s="2">
        <v>37111.79</v>
      </c>
      <c r="D790" s="1" t="s">
        <v>24</v>
      </c>
      <c r="E790" s="1" t="s">
        <v>25</v>
      </c>
      <c r="F790" s="1" t="s">
        <v>19</v>
      </c>
      <c r="G790" s="1" t="s">
        <v>46</v>
      </c>
      <c r="H790" s="1">
        <v>835</v>
      </c>
      <c r="I790" s="1">
        <v>8</v>
      </c>
      <c r="J790" s="1">
        <v>0</v>
      </c>
      <c r="K790" s="2">
        <v>26774.69</v>
      </c>
      <c r="L790" s="1">
        <v>0</v>
      </c>
      <c r="M790" s="1">
        <v>0.20200000000000001</v>
      </c>
      <c r="N790" s="1">
        <v>6</v>
      </c>
      <c r="O790" s="4" t="s">
        <v>1936</v>
      </c>
    </row>
    <row r="791" spans="1:15" x14ac:dyDescent="0.3">
      <c r="A791" s="1" t="s">
        <v>1582</v>
      </c>
      <c r="B791" s="1" t="s">
        <v>1583</v>
      </c>
      <c r="C791" s="2">
        <v>5314.8</v>
      </c>
      <c r="D791" s="1" t="s">
        <v>51</v>
      </c>
      <c r="E791" s="1" t="s">
        <v>39</v>
      </c>
      <c r="F791" s="1" t="s">
        <v>26</v>
      </c>
      <c r="G791" s="1" t="s">
        <v>20</v>
      </c>
      <c r="H791" s="1">
        <v>447</v>
      </c>
      <c r="I791" s="1">
        <v>15</v>
      </c>
      <c r="J791" s="1">
        <v>1</v>
      </c>
      <c r="K791" s="2">
        <v>16531.54</v>
      </c>
      <c r="L791" s="1">
        <v>0</v>
      </c>
      <c r="M791" s="1">
        <v>0.435</v>
      </c>
      <c r="N791" s="1">
        <v>4</v>
      </c>
      <c r="O791" s="4" t="s">
        <v>1936</v>
      </c>
    </row>
    <row r="792" spans="1:15" x14ac:dyDescent="0.3">
      <c r="A792" s="1" t="s">
        <v>1584</v>
      </c>
      <c r="B792" s="1" t="s">
        <v>1585</v>
      </c>
      <c r="C792" s="2">
        <v>14948.71</v>
      </c>
      <c r="D792" s="1" t="s">
        <v>17</v>
      </c>
      <c r="E792" s="1" t="s">
        <v>39</v>
      </c>
      <c r="F792" s="1" t="s">
        <v>26</v>
      </c>
      <c r="G792" s="1" t="s">
        <v>20</v>
      </c>
      <c r="H792" s="1">
        <v>578</v>
      </c>
      <c r="I792" s="1">
        <v>17</v>
      </c>
      <c r="J792" s="1">
        <v>0</v>
      </c>
      <c r="K792" s="2">
        <v>3159.42</v>
      </c>
      <c r="L792" s="1">
        <v>1</v>
      </c>
      <c r="M792" s="1">
        <v>0.65</v>
      </c>
      <c r="N792" s="1">
        <v>9</v>
      </c>
      <c r="O792" s="4" t="s">
        <v>1936</v>
      </c>
    </row>
    <row r="793" spans="1:15" x14ac:dyDescent="0.3">
      <c r="A793" s="1" t="s">
        <v>1586</v>
      </c>
      <c r="B793" s="1" t="s">
        <v>915</v>
      </c>
      <c r="C793" s="2">
        <v>29788.55</v>
      </c>
      <c r="D793" s="1" t="s">
        <v>24</v>
      </c>
      <c r="E793" s="1" t="s">
        <v>39</v>
      </c>
      <c r="F793" s="1" t="s">
        <v>19</v>
      </c>
      <c r="G793" s="1" t="s">
        <v>36</v>
      </c>
      <c r="H793" s="1">
        <v>840</v>
      </c>
      <c r="I793" s="1">
        <v>3</v>
      </c>
      <c r="J793" s="1">
        <v>3</v>
      </c>
      <c r="K793" s="2">
        <v>27768.03</v>
      </c>
      <c r="L793" s="1">
        <v>0</v>
      </c>
      <c r="M793" s="1">
        <v>0.85199999999999998</v>
      </c>
      <c r="N793" s="1">
        <v>6</v>
      </c>
      <c r="O793" s="4" t="s">
        <v>1936</v>
      </c>
    </row>
    <row r="794" spans="1:15" x14ac:dyDescent="0.3">
      <c r="A794" s="1" t="s">
        <v>1587</v>
      </c>
      <c r="B794" s="1" t="s">
        <v>1588</v>
      </c>
      <c r="C794" s="2">
        <v>2783.9</v>
      </c>
      <c r="D794" s="1" t="s">
        <v>17</v>
      </c>
      <c r="E794" s="1" t="s">
        <v>25</v>
      </c>
      <c r="F794" s="1" t="s">
        <v>30</v>
      </c>
      <c r="G794" s="1" t="s">
        <v>56</v>
      </c>
      <c r="H794" s="1">
        <v>212</v>
      </c>
      <c r="I794" s="1">
        <v>0</v>
      </c>
      <c r="J794" s="1">
        <v>2</v>
      </c>
      <c r="K794" s="2">
        <v>20400.23</v>
      </c>
      <c r="L794" s="1">
        <v>1</v>
      </c>
      <c r="M794" s="1">
        <v>0.70399999999999996</v>
      </c>
      <c r="N794" s="1">
        <v>7</v>
      </c>
      <c r="O794" s="4" t="s">
        <v>1936</v>
      </c>
    </row>
    <row r="795" spans="1:15" x14ac:dyDescent="0.3">
      <c r="A795" s="1" t="s">
        <v>1589</v>
      </c>
      <c r="B795" s="1" t="s">
        <v>1590</v>
      </c>
      <c r="C795" s="2">
        <v>2738.83</v>
      </c>
      <c r="D795" s="1" t="s">
        <v>17</v>
      </c>
      <c r="E795" s="1" t="s">
        <v>39</v>
      </c>
      <c r="F795" s="1" t="s">
        <v>30</v>
      </c>
      <c r="G795" s="1" t="s">
        <v>31</v>
      </c>
      <c r="H795" s="1">
        <v>396</v>
      </c>
      <c r="I795" s="1">
        <v>10</v>
      </c>
      <c r="J795" s="1">
        <v>0</v>
      </c>
      <c r="K795" s="2">
        <v>27037.46</v>
      </c>
      <c r="L795" s="1">
        <v>0</v>
      </c>
      <c r="M795" s="1">
        <v>0.308</v>
      </c>
      <c r="N795" s="1">
        <v>9</v>
      </c>
      <c r="O795" s="4" t="s">
        <v>1936</v>
      </c>
    </row>
    <row r="796" spans="1:15" x14ac:dyDescent="0.3">
      <c r="A796" s="1" t="s">
        <v>1591</v>
      </c>
      <c r="B796" s="1" t="s">
        <v>1592</v>
      </c>
      <c r="C796" s="2">
        <v>1995.94</v>
      </c>
      <c r="D796" s="1" t="s">
        <v>24</v>
      </c>
      <c r="E796" s="1" t="s">
        <v>18</v>
      </c>
      <c r="F796" s="1" t="s">
        <v>30</v>
      </c>
      <c r="G796" s="1" t="s">
        <v>56</v>
      </c>
      <c r="H796" s="1">
        <v>1055</v>
      </c>
      <c r="I796" s="1">
        <v>3</v>
      </c>
      <c r="J796" s="1">
        <v>1</v>
      </c>
      <c r="K796" s="2">
        <v>16734.099999999999</v>
      </c>
      <c r="L796" s="1">
        <v>0</v>
      </c>
      <c r="M796" s="1">
        <v>3.2000000000000001E-2</v>
      </c>
      <c r="N796" s="1">
        <v>8</v>
      </c>
      <c r="O796" s="4" t="s">
        <v>1936</v>
      </c>
    </row>
    <row r="797" spans="1:15" x14ac:dyDescent="0.3">
      <c r="A797" s="1" t="s">
        <v>1593</v>
      </c>
      <c r="B797" s="1" t="s">
        <v>1594</v>
      </c>
      <c r="C797" s="2">
        <v>23063.64</v>
      </c>
      <c r="D797" s="1" t="s">
        <v>24</v>
      </c>
      <c r="E797" s="1" t="s">
        <v>18</v>
      </c>
      <c r="F797" s="1" t="s">
        <v>19</v>
      </c>
      <c r="G797" s="1" t="s">
        <v>46</v>
      </c>
      <c r="H797" s="1">
        <v>801</v>
      </c>
      <c r="I797" s="1">
        <v>6</v>
      </c>
      <c r="J797" s="1">
        <v>4</v>
      </c>
      <c r="K797" s="2">
        <v>2165.19</v>
      </c>
      <c r="L797" s="1">
        <v>0</v>
      </c>
      <c r="M797" s="1">
        <v>0.99</v>
      </c>
      <c r="N797" s="1">
        <v>5</v>
      </c>
      <c r="O797" s="4" t="s">
        <v>1936</v>
      </c>
    </row>
    <row r="798" spans="1:15" x14ac:dyDescent="0.3">
      <c r="A798" s="1" t="s">
        <v>1595</v>
      </c>
      <c r="B798" s="1" t="s">
        <v>420</v>
      </c>
      <c r="C798" s="2">
        <v>4913.4799999999996</v>
      </c>
      <c r="D798" s="1" t="s">
        <v>24</v>
      </c>
      <c r="E798" s="1" t="s">
        <v>25</v>
      </c>
      <c r="F798" s="1" t="s">
        <v>30</v>
      </c>
      <c r="G798" s="1" t="s">
        <v>36</v>
      </c>
      <c r="H798" s="1">
        <v>696</v>
      </c>
      <c r="I798" s="1">
        <v>7</v>
      </c>
      <c r="J798" s="1">
        <v>1</v>
      </c>
      <c r="K798" s="2">
        <v>28547.759999999998</v>
      </c>
      <c r="L798" s="1">
        <v>0</v>
      </c>
      <c r="M798" s="1">
        <v>0.29299999999999998</v>
      </c>
      <c r="N798" s="1">
        <v>8</v>
      </c>
      <c r="O798" s="4" t="s">
        <v>1936</v>
      </c>
    </row>
    <row r="799" spans="1:15" x14ac:dyDescent="0.3">
      <c r="A799" s="1" t="s">
        <v>1596</v>
      </c>
      <c r="B799" s="1" t="s">
        <v>1597</v>
      </c>
      <c r="C799" s="2">
        <v>32294.44</v>
      </c>
      <c r="D799" s="1" t="s">
        <v>24</v>
      </c>
      <c r="E799" s="1" t="s">
        <v>39</v>
      </c>
      <c r="F799" s="1" t="s">
        <v>19</v>
      </c>
      <c r="G799" s="1" t="s">
        <v>36</v>
      </c>
      <c r="H799" s="1">
        <v>1463</v>
      </c>
      <c r="I799" s="1">
        <v>11</v>
      </c>
      <c r="J799" s="1">
        <v>1</v>
      </c>
      <c r="K799" s="2">
        <v>25617.69</v>
      </c>
      <c r="L799" s="1">
        <v>0</v>
      </c>
      <c r="M799" s="1">
        <v>0.5</v>
      </c>
      <c r="N799" s="1">
        <v>4</v>
      </c>
      <c r="O799" s="4" t="s">
        <v>1936</v>
      </c>
    </row>
    <row r="800" spans="1:15" x14ac:dyDescent="0.3">
      <c r="A800" s="1" t="s">
        <v>1598</v>
      </c>
      <c r="B800" s="1" t="s">
        <v>952</v>
      </c>
      <c r="C800" s="2">
        <v>7830.87</v>
      </c>
      <c r="D800" s="1" t="s">
        <v>24</v>
      </c>
      <c r="E800" s="1" t="s">
        <v>29</v>
      </c>
      <c r="F800" s="1" t="s">
        <v>19</v>
      </c>
      <c r="G800" s="1" t="s">
        <v>46</v>
      </c>
      <c r="H800" s="1">
        <v>10</v>
      </c>
      <c r="I800" s="1">
        <v>6</v>
      </c>
      <c r="J800" s="1">
        <v>2</v>
      </c>
      <c r="K800" s="2">
        <v>25872.36</v>
      </c>
      <c r="L800" s="1">
        <v>0</v>
      </c>
      <c r="M800" s="1">
        <v>0.84499999999999997</v>
      </c>
      <c r="N800" s="1">
        <v>6</v>
      </c>
      <c r="O800" s="4" t="s">
        <v>1936</v>
      </c>
    </row>
    <row r="801" spans="1:15" x14ac:dyDescent="0.3">
      <c r="A801" s="1" t="s">
        <v>1599</v>
      </c>
      <c r="B801" s="1" t="s">
        <v>1600</v>
      </c>
      <c r="C801" s="2">
        <v>7102.89</v>
      </c>
      <c r="D801" s="1" t="s">
        <v>24</v>
      </c>
      <c r="E801" s="1" t="s">
        <v>18</v>
      </c>
      <c r="F801" s="1" t="s">
        <v>19</v>
      </c>
      <c r="G801" s="1" t="s">
        <v>20</v>
      </c>
      <c r="H801" s="1">
        <v>1791</v>
      </c>
      <c r="I801" s="1">
        <v>7</v>
      </c>
      <c r="J801" s="1">
        <v>2</v>
      </c>
      <c r="K801" s="2">
        <v>19594.75</v>
      </c>
      <c r="L801" s="1">
        <v>0</v>
      </c>
      <c r="M801" s="1">
        <v>0.96799999999999997</v>
      </c>
      <c r="N801" s="1">
        <v>7</v>
      </c>
      <c r="O801" s="4" t="s">
        <v>1936</v>
      </c>
    </row>
    <row r="802" spans="1:15" x14ac:dyDescent="0.3">
      <c r="A802" s="1" t="s">
        <v>1601</v>
      </c>
      <c r="B802" s="1" t="s">
        <v>1602</v>
      </c>
      <c r="C802" s="2">
        <v>7343.75</v>
      </c>
      <c r="D802" s="1" t="s">
        <v>17</v>
      </c>
      <c r="E802" s="1" t="s">
        <v>25</v>
      </c>
      <c r="F802" s="1" t="s">
        <v>26</v>
      </c>
      <c r="G802" s="1" t="s">
        <v>56</v>
      </c>
      <c r="H802" s="1">
        <v>1139</v>
      </c>
      <c r="I802" s="1">
        <v>4</v>
      </c>
      <c r="J802" s="1">
        <v>4</v>
      </c>
      <c r="K802" s="2">
        <v>15010.17</v>
      </c>
      <c r="L802" s="1">
        <v>1</v>
      </c>
      <c r="M802" s="1">
        <v>0.46400000000000002</v>
      </c>
      <c r="N802" s="1">
        <v>2</v>
      </c>
      <c r="O802" s="4" t="s">
        <v>1936</v>
      </c>
    </row>
    <row r="803" spans="1:15" x14ac:dyDescent="0.3">
      <c r="A803" s="1" t="s">
        <v>1603</v>
      </c>
      <c r="B803" s="1" t="s">
        <v>1604</v>
      </c>
      <c r="C803" s="2">
        <v>18156.97</v>
      </c>
      <c r="D803" s="1" t="s">
        <v>24</v>
      </c>
      <c r="E803" s="1" t="s">
        <v>25</v>
      </c>
      <c r="F803" s="1" t="s">
        <v>26</v>
      </c>
      <c r="G803" s="1" t="s">
        <v>31</v>
      </c>
      <c r="H803" s="1">
        <v>1979</v>
      </c>
      <c r="I803" s="1">
        <v>22</v>
      </c>
      <c r="J803" s="1">
        <v>1</v>
      </c>
      <c r="K803" s="2">
        <v>13362.05</v>
      </c>
      <c r="L803" s="1">
        <v>0</v>
      </c>
      <c r="M803" s="1">
        <v>0.1</v>
      </c>
      <c r="N803" s="1">
        <v>5</v>
      </c>
      <c r="O803" s="4" t="s">
        <v>1936</v>
      </c>
    </row>
    <row r="804" spans="1:15" x14ac:dyDescent="0.3">
      <c r="A804" s="1" t="s">
        <v>1605</v>
      </c>
      <c r="B804" s="1" t="s">
        <v>1606</v>
      </c>
      <c r="C804" s="2">
        <v>41208.68</v>
      </c>
      <c r="D804" s="1" t="s">
        <v>24</v>
      </c>
      <c r="E804" s="1" t="s">
        <v>18</v>
      </c>
      <c r="F804" s="1" t="s">
        <v>30</v>
      </c>
      <c r="G804" s="1" t="s">
        <v>46</v>
      </c>
      <c r="H804" s="1">
        <v>1223</v>
      </c>
      <c r="I804" s="1">
        <v>19</v>
      </c>
      <c r="J804" s="1">
        <v>2</v>
      </c>
      <c r="K804" s="2">
        <v>7067.9</v>
      </c>
      <c r="L804" s="1">
        <v>1</v>
      </c>
      <c r="M804" s="1">
        <v>0.54800000000000004</v>
      </c>
      <c r="N804" s="1">
        <v>5</v>
      </c>
      <c r="O804" s="4" t="s">
        <v>1936</v>
      </c>
    </row>
    <row r="805" spans="1:15" x14ac:dyDescent="0.3">
      <c r="A805" s="1" t="s">
        <v>1607</v>
      </c>
      <c r="B805" s="1" t="s">
        <v>1608</v>
      </c>
      <c r="C805" s="2">
        <v>2834.26</v>
      </c>
      <c r="D805" s="1" t="s">
        <v>24</v>
      </c>
      <c r="E805" s="1" t="s">
        <v>39</v>
      </c>
      <c r="F805" s="1" t="s">
        <v>26</v>
      </c>
      <c r="G805" s="1" t="s">
        <v>46</v>
      </c>
      <c r="H805" s="1">
        <v>800</v>
      </c>
      <c r="I805" s="1">
        <v>17</v>
      </c>
      <c r="J805" s="1">
        <v>3</v>
      </c>
      <c r="K805" s="2">
        <v>22202.58</v>
      </c>
      <c r="L805" s="1">
        <v>0</v>
      </c>
      <c r="M805" s="1">
        <v>0.82699999999999996</v>
      </c>
      <c r="N805" s="1">
        <v>3</v>
      </c>
      <c r="O805" s="4" t="s">
        <v>1936</v>
      </c>
    </row>
    <row r="806" spans="1:15" x14ac:dyDescent="0.3">
      <c r="A806" s="1" t="s">
        <v>1609</v>
      </c>
      <c r="B806" s="1" t="s">
        <v>1610</v>
      </c>
      <c r="C806" s="2">
        <v>24218.82</v>
      </c>
      <c r="D806" s="1" t="s">
        <v>17</v>
      </c>
      <c r="E806" s="1" t="s">
        <v>29</v>
      </c>
      <c r="F806" s="1" t="s">
        <v>26</v>
      </c>
      <c r="G806" s="1" t="s">
        <v>36</v>
      </c>
      <c r="H806" s="1">
        <v>358</v>
      </c>
      <c r="I806" s="1">
        <v>19</v>
      </c>
      <c r="J806" s="1">
        <v>0</v>
      </c>
      <c r="K806" s="2">
        <v>20650.79</v>
      </c>
      <c r="L806" s="1">
        <v>0</v>
      </c>
      <c r="M806" s="1">
        <v>0.98599999999999999</v>
      </c>
      <c r="N806" s="1">
        <v>9</v>
      </c>
      <c r="O806" s="4" t="s">
        <v>1936</v>
      </c>
    </row>
    <row r="807" spans="1:15" x14ac:dyDescent="0.3">
      <c r="A807" s="1" t="s">
        <v>1611</v>
      </c>
      <c r="B807" s="1" t="s">
        <v>1612</v>
      </c>
      <c r="C807" s="2">
        <v>40599.75</v>
      </c>
      <c r="D807" s="1" t="s">
        <v>51</v>
      </c>
      <c r="E807" s="1" t="s">
        <v>39</v>
      </c>
      <c r="F807" s="1" t="s">
        <v>30</v>
      </c>
      <c r="G807" s="1" t="s">
        <v>31</v>
      </c>
      <c r="H807" s="1">
        <v>1549</v>
      </c>
      <c r="I807" s="1">
        <v>9</v>
      </c>
      <c r="J807" s="1">
        <v>3</v>
      </c>
      <c r="K807" s="2">
        <v>13439.35</v>
      </c>
      <c r="L807" s="1">
        <v>0</v>
      </c>
      <c r="M807" s="1">
        <v>0.75800000000000001</v>
      </c>
      <c r="N807" s="1">
        <v>3</v>
      </c>
      <c r="O807" s="4" t="s">
        <v>1936</v>
      </c>
    </row>
    <row r="808" spans="1:15" x14ac:dyDescent="0.3">
      <c r="A808" s="1" t="s">
        <v>1613</v>
      </c>
      <c r="B808" s="1" t="s">
        <v>1614</v>
      </c>
      <c r="C808" s="2">
        <v>47052.57</v>
      </c>
      <c r="D808" s="1" t="s">
        <v>17</v>
      </c>
      <c r="E808" s="1" t="s">
        <v>39</v>
      </c>
      <c r="F808" s="1" t="s">
        <v>19</v>
      </c>
      <c r="G808" s="1" t="s">
        <v>20</v>
      </c>
      <c r="H808" s="1">
        <v>963</v>
      </c>
      <c r="I808" s="1">
        <v>19</v>
      </c>
      <c r="J808" s="1">
        <v>4</v>
      </c>
      <c r="K808" s="2">
        <v>5634.56</v>
      </c>
      <c r="L808" s="1">
        <v>0</v>
      </c>
      <c r="M808" s="1">
        <v>0.44600000000000001</v>
      </c>
      <c r="N808" s="1">
        <v>3</v>
      </c>
      <c r="O808" s="4" t="s">
        <v>1936</v>
      </c>
    </row>
    <row r="809" spans="1:15" x14ac:dyDescent="0.3">
      <c r="A809" s="1" t="s">
        <v>1615</v>
      </c>
      <c r="B809" s="1" t="s">
        <v>1616</v>
      </c>
      <c r="C809" s="2">
        <v>21383.9</v>
      </c>
      <c r="D809" s="1" t="s">
        <v>17</v>
      </c>
      <c r="E809" s="1" t="s">
        <v>25</v>
      </c>
      <c r="F809" s="1" t="s">
        <v>30</v>
      </c>
      <c r="G809" s="1" t="s">
        <v>20</v>
      </c>
      <c r="H809" s="1">
        <v>1421</v>
      </c>
      <c r="I809" s="1">
        <v>7</v>
      </c>
      <c r="J809" s="1">
        <v>4</v>
      </c>
      <c r="K809" s="2">
        <v>27657.200000000001</v>
      </c>
      <c r="L809" s="1">
        <v>0</v>
      </c>
      <c r="M809" s="1">
        <v>0.79800000000000004</v>
      </c>
      <c r="N809" s="1">
        <v>3</v>
      </c>
      <c r="O809" s="4" t="s">
        <v>1936</v>
      </c>
    </row>
    <row r="810" spans="1:15" x14ac:dyDescent="0.3">
      <c r="A810" s="1" t="s">
        <v>1617</v>
      </c>
      <c r="B810" s="1" t="s">
        <v>1618</v>
      </c>
      <c r="C810" s="2">
        <v>38498.839999999997</v>
      </c>
      <c r="D810" s="1" t="s">
        <v>24</v>
      </c>
      <c r="E810" s="1" t="s">
        <v>18</v>
      </c>
      <c r="F810" s="1" t="s">
        <v>19</v>
      </c>
      <c r="G810" s="1" t="s">
        <v>20</v>
      </c>
      <c r="H810" s="1">
        <v>607</v>
      </c>
      <c r="I810" s="1">
        <v>8</v>
      </c>
      <c r="J810" s="1">
        <v>2</v>
      </c>
      <c r="K810" s="2">
        <v>13428.22</v>
      </c>
      <c r="L810" s="1">
        <v>0</v>
      </c>
      <c r="M810" s="1">
        <v>0.16800000000000001</v>
      </c>
      <c r="N810" s="1">
        <v>7</v>
      </c>
      <c r="O810" s="4" t="s">
        <v>1936</v>
      </c>
    </row>
    <row r="811" spans="1:15" x14ac:dyDescent="0.3">
      <c r="A811" s="1" t="s">
        <v>1619</v>
      </c>
      <c r="B811" s="1" t="s">
        <v>1620</v>
      </c>
      <c r="C811" s="2">
        <v>6013.08</v>
      </c>
      <c r="D811" s="1" t="s">
        <v>24</v>
      </c>
      <c r="E811" s="1" t="s">
        <v>18</v>
      </c>
      <c r="F811" s="1" t="s">
        <v>26</v>
      </c>
      <c r="G811" s="1" t="s">
        <v>31</v>
      </c>
      <c r="H811" s="1">
        <v>1456</v>
      </c>
      <c r="I811" s="1">
        <v>9</v>
      </c>
      <c r="J811" s="1">
        <v>1</v>
      </c>
      <c r="K811" s="2">
        <v>7844.45</v>
      </c>
      <c r="L811" s="1">
        <v>0</v>
      </c>
      <c r="M811" s="1">
        <v>0.32200000000000001</v>
      </c>
      <c r="N811" s="1">
        <v>8</v>
      </c>
      <c r="O811" s="4" t="s">
        <v>1936</v>
      </c>
    </row>
    <row r="812" spans="1:15" x14ac:dyDescent="0.3">
      <c r="A812" s="1" t="s">
        <v>1621</v>
      </c>
      <c r="B812" s="1" t="s">
        <v>1622</v>
      </c>
      <c r="C812" s="2">
        <v>26790.62</v>
      </c>
      <c r="D812" s="1" t="s">
        <v>17</v>
      </c>
      <c r="E812" s="1" t="s">
        <v>29</v>
      </c>
      <c r="F812" s="1" t="s">
        <v>26</v>
      </c>
      <c r="G812" s="1" t="s">
        <v>31</v>
      </c>
      <c r="H812" s="1">
        <v>512</v>
      </c>
      <c r="I812" s="1">
        <v>19</v>
      </c>
      <c r="J812" s="1">
        <v>4</v>
      </c>
      <c r="K812" s="2">
        <v>4199.3599999999997</v>
      </c>
      <c r="L812" s="1">
        <v>0</v>
      </c>
      <c r="M812" s="1">
        <v>0.375</v>
      </c>
      <c r="N812" s="1">
        <v>1</v>
      </c>
      <c r="O812" s="4" t="s">
        <v>1936</v>
      </c>
    </row>
    <row r="813" spans="1:15" x14ac:dyDescent="0.3">
      <c r="A813" s="1" t="s">
        <v>1623</v>
      </c>
      <c r="B813" s="1" t="s">
        <v>1624</v>
      </c>
      <c r="C813" s="2">
        <v>2122.79</v>
      </c>
      <c r="D813" s="1" t="s">
        <v>17</v>
      </c>
      <c r="E813" s="1" t="s">
        <v>29</v>
      </c>
      <c r="F813" s="1" t="s">
        <v>26</v>
      </c>
      <c r="G813" s="1" t="s">
        <v>20</v>
      </c>
      <c r="H813" s="1">
        <v>171</v>
      </c>
      <c r="I813" s="1">
        <v>6</v>
      </c>
      <c r="J813" s="1">
        <v>4</v>
      </c>
      <c r="K813" s="2">
        <v>12971.24</v>
      </c>
      <c r="L813" s="1">
        <v>0</v>
      </c>
      <c r="M813" s="1">
        <v>3.6999999999999998E-2</v>
      </c>
      <c r="N813" s="1">
        <v>7</v>
      </c>
      <c r="O813" s="4" t="s">
        <v>1936</v>
      </c>
    </row>
    <row r="814" spans="1:15" x14ac:dyDescent="0.3">
      <c r="A814" s="1" t="s">
        <v>1625</v>
      </c>
      <c r="B814" s="1" t="s">
        <v>1626</v>
      </c>
      <c r="C814" s="2">
        <v>31187.81</v>
      </c>
      <c r="D814" s="1" t="s">
        <v>51</v>
      </c>
      <c r="E814" s="1" t="s">
        <v>29</v>
      </c>
      <c r="F814" s="1" t="s">
        <v>26</v>
      </c>
      <c r="G814" s="1" t="s">
        <v>36</v>
      </c>
      <c r="H814" s="1">
        <v>1245</v>
      </c>
      <c r="I814" s="1">
        <v>17</v>
      </c>
      <c r="J814" s="1">
        <v>1</v>
      </c>
      <c r="K814" s="2">
        <v>29600.27</v>
      </c>
      <c r="L814" s="1">
        <v>0</v>
      </c>
      <c r="M814" s="1">
        <v>0.71799999999999997</v>
      </c>
      <c r="N814" s="1">
        <v>9</v>
      </c>
      <c r="O814" s="4" t="s">
        <v>1936</v>
      </c>
    </row>
    <row r="815" spans="1:15" x14ac:dyDescent="0.3">
      <c r="A815" s="1" t="s">
        <v>1627</v>
      </c>
      <c r="B815" s="1" t="s">
        <v>1628</v>
      </c>
      <c r="C815" s="2">
        <v>26456.400000000001</v>
      </c>
      <c r="D815" s="1" t="s">
        <v>51</v>
      </c>
      <c r="E815" s="1" t="s">
        <v>25</v>
      </c>
      <c r="F815" s="1" t="s">
        <v>26</v>
      </c>
      <c r="G815" s="1" t="s">
        <v>31</v>
      </c>
      <c r="H815" s="1">
        <v>751</v>
      </c>
      <c r="I815" s="1">
        <v>16</v>
      </c>
      <c r="J815" s="1">
        <v>4</v>
      </c>
      <c r="K815" s="2">
        <v>6433.12</v>
      </c>
      <c r="L815" s="1">
        <v>0</v>
      </c>
      <c r="M815" s="1">
        <v>0.153</v>
      </c>
      <c r="N815" s="1">
        <v>8</v>
      </c>
      <c r="O815" s="4" t="s">
        <v>1936</v>
      </c>
    </row>
    <row r="816" spans="1:15" x14ac:dyDescent="0.3">
      <c r="A816" s="1" t="s">
        <v>1629</v>
      </c>
      <c r="B816" s="1" t="s">
        <v>1630</v>
      </c>
      <c r="C816" s="2">
        <v>27930.65</v>
      </c>
      <c r="D816" s="1" t="s">
        <v>24</v>
      </c>
      <c r="E816" s="1" t="s">
        <v>39</v>
      </c>
      <c r="F816" s="1" t="s">
        <v>26</v>
      </c>
      <c r="G816" s="1" t="s">
        <v>56</v>
      </c>
      <c r="H816" s="1">
        <v>1548</v>
      </c>
      <c r="I816" s="1">
        <v>15</v>
      </c>
      <c r="J816" s="1">
        <v>2</v>
      </c>
      <c r="K816" s="2">
        <v>13471.02</v>
      </c>
      <c r="L816" s="1">
        <v>0</v>
      </c>
      <c r="M816" s="1">
        <v>3.4000000000000002E-2</v>
      </c>
      <c r="N816" s="1">
        <v>2</v>
      </c>
      <c r="O816" s="4" t="s">
        <v>1936</v>
      </c>
    </row>
    <row r="817" spans="1:15" x14ac:dyDescent="0.3">
      <c r="A817" s="1" t="s">
        <v>1631</v>
      </c>
      <c r="B817" s="1" t="s">
        <v>1632</v>
      </c>
      <c r="C817" s="2">
        <v>25924.62</v>
      </c>
      <c r="D817" s="1" t="s">
        <v>51</v>
      </c>
      <c r="E817" s="1" t="s">
        <v>29</v>
      </c>
      <c r="F817" s="1" t="s">
        <v>30</v>
      </c>
      <c r="G817" s="1" t="s">
        <v>20</v>
      </c>
      <c r="H817" s="1">
        <v>1776</v>
      </c>
      <c r="I817" s="1">
        <v>18</v>
      </c>
      <c r="J817" s="1">
        <v>3</v>
      </c>
      <c r="K817" s="2">
        <v>29670.06</v>
      </c>
      <c r="L817" s="1">
        <v>0</v>
      </c>
      <c r="M817" s="1">
        <v>0.20899999999999999</v>
      </c>
      <c r="N817" s="1">
        <v>2</v>
      </c>
      <c r="O817" s="4" t="s">
        <v>1936</v>
      </c>
    </row>
    <row r="818" spans="1:15" x14ac:dyDescent="0.3">
      <c r="A818" s="1" t="s">
        <v>1633</v>
      </c>
      <c r="B818" s="1" t="s">
        <v>1634</v>
      </c>
      <c r="C818" s="2">
        <v>24200.73</v>
      </c>
      <c r="D818" s="1" t="s">
        <v>17</v>
      </c>
      <c r="E818" s="1" t="s">
        <v>18</v>
      </c>
      <c r="F818" s="1" t="s">
        <v>30</v>
      </c>
      <c r="G818" s="1" t="s">
        <v>20</v>
      </c>
      <c r="H818" s="1">
        <v>492</v>
      </c>
      <c r="I818" s="1">
        <v>2</v>
      </c>
      <c r="J818" s="1">
        <v>4</v>
      </c>
      <c r="K818" s="2">
        <v>4564.66</v>
      </c>
      <c r="L818" s="1">
        <v>0</v>
      </c>
      <c r="M818" s="1">
        <v>0.54</v>
      </c>
      <c r="N818" s="1">
        <v>2</v>
      </c>
      <c r="O818" s="4" t="s">
        <v>1936</v>
      </c>
    </row>
    <row r="819" spans="1:15" x14ac:dyDescent="0.3">
      <c r="A819" s="1" t="s">
        <v>1635</v>
      </c>
      <c r="B819" s="1" t="s">
        <v>1636</v>
      </c>
      <c r="C819" s="2">
        <v>1871.23</v>
      </c>
      <c r="D819" s="1" t="s">
        <v>24</v>
      </c>
      <c r="E819" s="1" t="s">
        <v>39</v>
      </c>
      <c r="F819" s="1" t="s">
        <v>26</v>
      </c>
      <c r="G819" s="1" t="s">
        <v>46</v>
      </c>
      <c r="H819" s="1">
        <v>1719</v>
      </c>
      <c r="I819" s="1">
        <v>17</v>
      </c>
      <c r="J819" s="1">
        <v>4</v>
      </c>
      <c r="K819" s="2">
        <v>1748.72</v>
      </c>
      <c r="L819" s="1">
        <v>0</v>
      </c>
      <c r="M819" s="1">
        <v>0.25</v>
      </c>
      <c r="N819" s="1">
        <v>5</v>
      </c>
      <c r="O819" s="4" t="s">
        <v>1936</v>
      </c>
    </row>
    <row r="820" spans="1:15" x14ac:dyDescent="0.3">
      <c r="A820" s="1" t="s">
        <v>1637</v>
      </c>
      <c r="B820" s="1" t="s">
        <v>1638</v>
      </c>
      <c r="C820" s="2">
        <v>31556.98</v>
      </c>
      <c r="D820" s="1" t="s">
        <v>51</v>
      </c>
      <c r="E820" s="1" t="s">
        <v>29</v>
      </c>
      <c r="F820" s="1" t="s">
        <v>26</v>
      </c>
      <c r="G820" s="1" t="s">
        <v>36</v>
      </c>
      <c r="H820" s="1">
        <v>1375</v>
      </c>
      <c r="I820" s="1">
        <v>9</v>
      </c>
      <c r="J820" s="1">
        <v>0</v>
      </c>
      <c r="K820" s="2">
        <v>5622.16</v>
      </c>
      <c r="L820" s="1">
        <v>0</v>
      </c>
      <c r="M820" s="1">
        <v>0.83699999999999997</v>
      </c>
      <c r="N820" s="1">
        <v>7</v>
      </c>
      <c r="O820" s="4" t="s">
        <v>1936</v>
      </c>
    </row>
    <row r="821" spans="1:15" x14ac:dyDescent="0.3">
      <c r="A821" s="1" t="s">
        <v>1639</v>
      </c>
      <c r="B821" s="1" t="s">
        <v>1640</v>
      </c>
      <c r="C821" s="2">
        <v>2858.4</v>
      </c>
      <c r="D821" s="1" t="s">
        <v>24</v>
      </c>
      <c r="E821" s="1" t="s">
        <v>25</v>
      </c>
      <c r="F821" s="1" t="s">
        <v>26</v>
      </c>
      <c r="G821" s="1" t="s">
        <v>36</v>
      </c>
      <c r="H821" s="1">
        <v>1255</v>
      </c>
      <c r="I821" s="1">
        <v>20</v>
      </c>
      <c r="J821" s="1">
        <v>1</v>
      </c>
      <c r="K821" s="2">
        <v>14927.53</v>
      </c>
      <c r="L821" s="1">
        <v>0</v>
      </c>
      <c r="M821" s="1">
        <v>0.84299999999999997</v>
      </c>
      <c r="N821" s="1">
        <v>3</v>
      </c>
      <c r="O821" s="4" t="s">
        <v>1936</v>
      </c>
    </row>
    <row r="822" spans="1:15" x14ac:dyDescent="0.3">
      <c r="A822" s="1" t="s">
        <v>1641</v>
      </c>
      <c r="B822" s="1" t="s">
        <v>1642</v>
      </c>
      <c r="C822" s="2">
        <v>18880.46</v>
      </c>
      <c r="D822" s="1" t="s">
        <v>51</v>
      </c>
      <c r="E822" s="1" t="s">
        <v>25</v>
      </c>
      <c r="F822" s="1" t="s">
        <v>26</v>
      </c>
      <c r="G822" s="1" t="s">
        <v>20</v>
      </c>
      <c r="H822" s="1">
        <v>1453</v>
      </c>
      <c r="I822" s="1">
        <v>4</v>
      </c>
      <c r="J822" s="1">
        <v>2</v>
      </c>
      <c r="K822" s="2">
        <v>26553.78</v>
      </c>
      <c r="L822" s="1">
        <v>0</v>
      </c>
      <c r="M822" s="1">
        <v>0.434</v>
      </c>
      <c r="N822" s="1">
        <v>9</v>
      </c>
      <c r="O822" s="4" t="s">
        <v>1936</v>
      </c>
    </row>
    <row r="823" spans="1:15" x14ac:dyDescent="0.3">
      <c r="A823" s="1" t="s">
        <v>1643</v>
      </c>
      <c r="B823" s="1" t="s">
        <v>1644</v>
      </c>
      <c r="C823" s="2">
        <v>38031.980000000003</v>
      </c>
      <c r="D823" s="1" t="s">
        <v>17</v>
      </c>
      <c r="E823" s="1" t="s">
        <v>18</v>
      </c>
      <c r="F823" s="1" t="s">
        <v>19</v>
      </c>
      <c r="G823" s="1" t="s">
        <v>56</v>
      </c>
      <c r="H823" s="1">
        <v>39</v>
      </c>
      <c r="I823" s="1">
        <v>5</v>
      </c>
      <c r="J823" s="1">
        <v>1</v>
      </c>
      <c r="K823" s="2">
        <v>2748.66</v>
      </c>
      <c r="L823" s="1">
        <v>0</v>
      </c>
      <c r="M823" s="1">
        <v>0.43</v>
      </c>
      <c r="N823" s="1">
        <v>6</v>
      </c>
      <c r="O823" s="4" t="s">
        <v>1936</v>
      </c>
    </row>
    <row r="824" spans="1:15" x14ac:dyDescent="0.3">
      <c r="A824" s="1" t="s">
        <v>1645</v>
      </c>
      <c r="B824" s="1" t="s">
        <v>1646</v>
      </c>
      <c r="C824" s="2">
        <v>49233.49</v>
      </c>
      <c r="D824" s="1" t="s">
        <v>51</v>
      </c>
      <c r="E824" s="1" t="s">
        <v>29</v>
      </c>
      <c r="F824" s="1" t="s">
        <v>30</v>
      </c>
      <c r="G824" s="1" t="s">
        <v>36</v>
      </c>
      <c r="H824" s="1">
        <v>128</v>
      </c>
      <c r="I824" s="1">
        <v>15</v>
      </c>
      <c r="J824" s="1">
        <v>3</v>
      </c>
      <c r="K824" s="2">
        <v>1475.81</v>
      </c>
      <c r="L824" s="1">
        <v>0</v>
      </c>
      <c r="M824" s="1">
        <v>0.28199999999999997</v>
      </c>
      <c r="N824" s="1">
        <v>3</v>
      </c>
      <c r="O824" s="4" t="s">
        <v>1936</v>
      </c>
    </row>
    <row r="825" spans="1:15" x14ac:dyDescent="0.3">
      <c r="A825" s="1" t="s">
        <v>1647</v>
      </c>
      <c r="B825" s="1" t="s">
        <v>1648</v>
      </c>
      <c r="C825" s="2">
        <v>1769.84</v>
      </c>
      <c r="D825" s="1" t="s">
        <v>24</v>
      </c>
      <c r="E825" s="1" t="s">
        <v>29</v>
      </c>
      <c r="F825" s="1" t="s">
        <v>26</v>
      </c>
      <c r="G825" s="1" t="s">
        <v>56</v>
      </c>
      <c r="H825" s="1">
        <v>721</v>
      </c>
      <c r="I825" s="1">
        <v>18</v>
      </c>
      <c r="J825" s="1">
        <v>3</v>
      </c>
      <c r="K825" s="2">
        <v>3209.91</v>
      </c>
      <c r="L825" s="1">
        <v>0</v>
      </c>
      <c r="M825" s="1">
        <v>0.45700000000000002</v>
      </c>
      <c r="N825" s="1">
        <v>6</v>
      </c>
      <c r="O825" s="4" t="s">
        <v>1936</v>
      </c>
    </row>
    <row r="826" spans="1:15" x14ac:dyDescent="0.3">
      <c r="A826" s="1" t="s">
        <v>1649</v>
      </c>
      <c r="B826" s="1" t="s">
        <v>1650</v>
      </c>
      <c r="C826" s="2">
        <v>4380.99</v>
      </c>
      <c r="D826" s="1" t="s">
        <v>51</v>
      </c>
      <c r="E826" s="1" t="s">
        <v>18</v>
      </c>
      <c r="F826" s="1" t="s">
        <v>30</v>
      </c>
      <c r="G826" s="1" t="s">
        <v>36</v>
      </c>
      <c r="H826" s="1">
        <v>270</v>
      </c>
      <c r="I826" s="1">
        <v>6</v>
      </c>
      <c r="J826" s="1">
        <v>1</v>
      </c>
      <c r="K826" s="2">
        <v>10677.55</v>
      </c>
      <c r="L826" s="1">
        <v>0</v>
      </c>
      <c r="M826" s="1">
        <v>0.72199999999999998</v>
      </c>
      <c r="N826" s="1">
        <v>2</v>
      </c>
      <c r="O826" s="4" t="s">
        <v>1936</v>
      </c>
    </row>
    <row r="827" spans="1:15" x14ac:dyDescent="0.3">
      <c r="A827" s="1" t="s">
        <v>1651</v>
      </c>
      <c r="B827" s="1" t="s">
        <v>1652</v>
      </c>
      <c r="C827" s="2">
        <v>18202.03</v>
      </c>
      <c r="D827" s="1" t="s">
        <v>17</v>
      </c>
      <c r="E827" s="1" t="s">
        <v>29</v>
      </c>
      <c r="F827" s="1" t="s">
        <v>30</v>
      </c>
      <c r="G827" s="1" t="s">
        <v>31</v>
      </c>
      <c r="H827" s="1">
        <v>1181</v>
      </c>
      <c r="I827" s="1">
        <v>20</v>
      </c>
      <c r="J827" s="1">
        <v>4</v>
      </c>
      <c r="K827" s="2">
        <v>16603.25</v>
      </c>
      <c r="L827" s="1">
        <v>0</v>
      </c>
      <c r="M827" s="1">
        <v>0.46700000000000003</v>
      </c>
      <c r="N827" s="1">
        <v>9</v>
      </c>
      <c r="O827" s="4" t="s">
        <v>1936</v>
      </c>
    </row>
    <row r="828" spans="1:15" x14ac:dyDescent="0.3">
      <c r="A828" s="1" t="s">
        <v>1653</v>
      </c>
      <c r="B828" s="1" t="s">
        <v>1654</v>
      </c>
      <c r="C828" s="2">
        <v>6497.11</v>
      </c>
      <c r="D828" s="1" t="s">
        <v>17</v>
      </c>
      <c r="E828" s="1" t="s">
        <v>29</v>
      </c>
      <c r="F828" s="1" t="s">
        <v>30</v>
      </c>
      <c r="G828" s="1" t="s">
        <v>31</v>
      </c>
      <c r="H828" s="1">
        <v>1535</v>
      </c>
      <c r="I828" s="1">
        <v>3</v>
      </c>
      <c r="J828" s="1">
        <v>3</v>
      </c>
      <c r="K828" s="2">
        <v>4158</v>
      </c>
      <c r="L828" s="1">
        <v>0</v>
      </c>
      <c r="M828" s="1">
        <v>0.92300000000000004</v>
      </c>
      <c r="N828" s="1">
        <v>7</v>
      </c>
      <c r="O828" s="4" t="s">
        <v>1936</v>
      </c>
    </row>
    <row r="829" spans="1:15" x14ac:dyDescent="0.3">
      <c r="A829" s="1" t="s">
        <v>1655</v>
      </c>
      <c r="B829" s="1" t="s">
        <v>1656</v>
      </c>
      <c r="C829" s="2">
        <v>23607.74</v>
      </c>
      <c r="D829" s="1" t="s">
        <v>17</v>
      </c>
      <c r="E829" s="1" t="s">
        <v>25</v>
      </c>
      <c r="F829" s="1" t="s">
        <v>30</v>
      </c>
      <c r="G829" s="1" t="s">
        <v>31</v>
      </c>
      <c r="H829" s="1">
        <v>424</v>
      </c>
      <c r="I829" s="1">
        <v>14</v>
      </c>
      <c r="J829" s="1">
        <v>2</v>
      </c>
      <c r="K829" s="2">
        <v>7833.37</v>
      </c>
      <c r="L829" s="1">
        <v>1</v>
      </c>
      <c r="M829" s="1">
        <v>0.92600000000000005</v>
      </c>
      <c r="N829" s="1">
        <v>9</v>
      </c>
      <c r="O829" s="4" t="s">
        <v>1936</v>
      </c>
    </row>
    <row r="830" spans="1:15" x14ac:dyDescent="0.3">
      <c r="A830" s="1" t="s">
        <v>1657</v>
      </c>
      <c r="B830" s="1" t="s">
        <v>1658</v>
      </c>
      <c r="C830" s="2">
        <v>11412.71</v>
      </c>
      <c r="D830" s="1" t="s">
        <v>17</v>
      </c>
      <c r="E830" s="1" t="s">
        <v>18</v>
      </c>
      <c r="F830" s="1" t="s">
        <v>30</v>
      </c>
      <c r="G830" s="1" t="s">
        <v>56</v>
      </c>
      <c r="H830" s="1">
        <v>623</v>
      </c>
      <c r="I830" s="1">
        <v>22</v>
      </c>
      <c r="J830" s="1">
        <v>4</v>
      </c>
      <c r="K830" s="2">
        <v>21307.39</v>
      </c>
      <c r="L830" s="1">
        <v>0</v>
      </c>
      <c r="M830" s="1">
        <v>8.5999999999999993E-2</v>
      </c>
      <c r="N830" s="1">
        <v>8</v>
      </c>
      <c r="O830" s="4" t="s">
        <v>1936</v>
      </c>
    </row>
    <row r="831" spans="1:15" x14ac:dyDescent="0.3">
      <c r="A831" s="1" t="s">
        <v>1659</v>
      </c>
      <c r="B831" s="1" t="s">
        <v>1660</v>
      </c>
      <c r="C831" s="2">
        <v>1141.24</v>
      </c>
      <c r="D831" s="1" t="s">
        <v>24</v>
      </c>
      <c r="E831" s="1" t="s">
        <v>25</v>
      </c>
      <c r="F831" s="1" t="s">
        <v>19</v>
      </c>
      <c r="G831" s="1" t="s">
        <v>36</v>
      </c>
      <c r="H831" s="1">
        <v>1576</v>
      </c>
      <c r="I831" s="1">
        <v>6</v>
      </c>
      <c r="J831" s="1">
        <v>0</v>
      </c>
      <c r="K831" s="2">
        <v>16682.560000000001</v>
      </c>
      <c r="L831" s="1">
        <v>0</v>
      </c>
      <c r="M831" s="1">
        <v>0.68899999999999995</v>
      </c>
      <c r="N831" s="1">
        <v>7</v>
      </c>
      <c r="O831" s="4" t="s">
        <v>1936</v>
      </c>
    </row>
    <row r="832" spans="1:15" x14ac:dyDescent="0.3">
      <c r="A832" s="1" t="s">
        <v>1661</v>
      </c>
      <c r="B832" s="1" t="s">
        <v>1662</v>
      </c>
      <c r="C832" s="2">
        <v>47945.65</v>
      </c>
      <c r="D832" s="1" t="s">
        <v>51</v>
      </c>
      <c r="E832" s="1" t="s">
        <v>25</v>
      </c>
      <c r="F832" s="1" t="s">
        <v>30</v>
      </c>
      <c r="G832" s="1" t="s">
        <v>36</v>
      </c>
      <c r="H832" s="1">
        <v>192</v>
      </c>
      <c r="I832" s="1">
        <v>19</v>
      </c>
      <c r="J832" s="1">
        <v>1</v>
      </c>
      <c r="K832" s="2">
        <v>28691.3</v>
      </c>
      <c r="L832" s="1">
        <v>0</v>
      </c>
      <c r="M832" s="1">
        <v>0.79</v>
      </c>
      <c r="N832" s="1">
        <v>6</v>
      </c>
      <c r="O832" s="4" t="s">
        <v>1936</v>
      </c>
    </row>
    <row r="833" spans="1:15" x14ac:dyDescent="0.3">
      <c r="A833" s="1" t="s">
        <v>1663</v>
      </c>
      <c r="B833" s="1" t="s">
        <v>1664</v>
      </c>
      <c r="C833" s="2">
        <v>13986.46</v>
      </c>
      <c r="D833" s="1" t="s">
        <v>51</v>
      </c>
      <c r="E833" s="1" t="s">
        <v>25</v>
      </c>
      <c r="F833" s="1" t="s">
        <v>30</v>
      </c>
      <c r="G833" s="1" t="s">
        <v>36</v>
      </c>
      <c r="H833" s="1">
        <v>275</v>
      </c>
      <c r="I833" s="1">
        <v>23</v>
      </c>
      <c r="J833" s="1">
        <v>0</v>
      </c>
      <c r="K833" s="2">
        <v>12469.38</v>
      </c>
      <c r="L833" s="1">
        <v>0</v>
      </c>
      <c r="M833" s="1">
        <v>0.30199999999999999</v>
      </c>
      <c r="N833" s="1">
        <v>1</v>
      </c>
      <c r="O833" s="4" t="s">
        <v>1936</v>
      </c>
    </row>
    <row r="834" spans="1:15" x14ac:dyDescent="0.3">
      <c r="A834" s="1" t="s">
        <v>1665</v>
      </c>
      <c r="B834" s="1" t="s">
        <v>1666</v>
      </c>
      <c r="C834" s="2">
        <v>7768.32</v>
      </c>
      <c r="D834" s="1" t="s">
        <v>51</v>
      </c>
      <c r="E834" s="1" t="s">
        <v>29</v>
      </c>
      <c r="F834" s="1" t="s">
        <v>26</v>
      </c>
      <c r="G834" s="1" t="s">
        <v>46</v>
      </c>
      <c r="H834" s="1">
        <v>1398</v>
      </c>
      <c r="I834" s="1">
        <v>13</v>
      </c>
      <c r="J834" s="1">
        <v>0</v>
      </c>
      <c r="K834" s="2">
        <v>14818.11</v>
      </c>
      <c r="L834" s="1">
        <v>0</v>
      </c>
      <c r="M834" s="1">
        <v>0.69399999999999995</v>
      </c>
      <c r="N834" s="1">
        <v>4</v>
      </c>
      <c r="O834" s="4" t="s">
        <v>1936</v>
      </c>
    </row>
    <row r="835" spans="1:15" x14ac:dyDescent="0.3">
      <c r="A835" s="1" t="s">
        <v>1667</v>
      </c>
      <c r="B835" s="1" t="s">
        <v>1668</v>
      </c>
      <c r="C835" s="2">
        <v>39099.9</v>
      </c>
      <c r="D835" s="1" t="s">
        <v>51</v>
      </c>
      <c r="E835" s="1" t="s">
        <v>18</v>
      </c>
      <c r="F835" s="1" t="s">
        <v>26</v>
      </c>
      <c r="G835" s="1" t="s">
        <v>20</v>
      </c>
      <c r="H835" s="1">
        <v>1869</v>
      </c>
      <c r="I835" s="1">
        <v>18</v>
      </c>
      <c r="J835" s="1">
        <v>0</v>
      </c>
      <c r="K835" s="2">
        <v>23264.560000000001</v>
      </c>
      <c r="L835" s="1">
        <v>0</v>
      </c>
      <c r="M835" s="1">
        <v>0.59299999999999997</v>
      </c>
      <c r="N835" s="1">
        <v>7</v>
      </c>
      <c r="O835" s="4" t="s">
        <v>1936</v>
      </c>
    </row>
    <row r="836" spans="1:15" x14ac:dyDescent="0.3">
      <c r="A836" s="1" t="s">
        <v>1669</v>
      </c>
      <c r="B836" s="1" t="s">
        <v>1670</v>
      </c>
      <c r="C836" s="2">
        <v>28481.86</v>
      </c>
      <c r="D836" s="1" t="s">
        <v>17</v>
      </c>
      <c r="E836" s="1" t="s">
        <v>25</v>
      </c>
      <c r="F836" s="1" t="s">
        <v>30</v>
      </c>
      <c r="G836" s="1" t="s">
        <v>46</v>
      </c>
      <c r="H836" s="1">
        <v>115</v>
      </c>
      <c r="I836" s="1">
        <v>12</v>
      </c>
      <c r="J836" s="1">
        <v>1</v>
      </c>
      <c r="K836" s="2">
        <v>18760.169999999998</v>
      </c>
      <c r="L836" s="1">
        <v>1</v>
      </c>
      <c r="M836" s="1">
        <v>0.16</v>
      </c>
      <c r="N836" s="1">
        <v>9</v>
      </c>
      <c r="O836" s="4" t="s">
        <v>1936</v>
      </c>
    </row>
    <row r="837" spans="1:15" x14ac:dyDescent="0.3">
      <c r="A837" s="1" t="s">
        <v>1671</v>
      </c>
      <c r="B837" s="1" t="s">
        <v>1672</v>
      </c>
      <c r="C837" s="2">
        <v>12419.2</v>
      </c>
      <c r="D837" s="1" t="s">
        <v>51</v>
      </c>
      <c r="E837" s="1" t="s">
        <v>25</v>
      </c>
      <c r="F837" s="1" t="s">
        <v>19</v>
      </c>
      <c r="G837" s="1" t="s">
        <v>31</v>
      </c>
      <c r="H837" s="1">
        <v>1213</v>
      </c>
      <c r="I837" s="1">
        <v>18</v>
      </c>
      <c r="J837" s="1">
        <v>3</v>
      </c>
      <c r="K837" s="2">
        <v>17709.3</v>
      </c>
      <c r="L837" s="1">
        <v>0</v>
      </c>
      <c r="M837" s="1">
        <v>0.92800000000000005</v>
      </c>
      <c r="N837" s="1">
        <v>2</v>
      </c>
      <c r="O837" s="4" t="s">
        <v>1936</v>
      </c>
    </row>
    <row r="838" spans="1:15" x14ac:dyDescent="0.3">
      <c r="A838" s="1" t="s">
        <v>1673</v>
      </c>
      <c r="B838" s="1" t="s">
        <v>1674</v>
      </c>
      <c r="C838" s="2">
        <v>36992.080000000002</v>
      </c>
      <c r="D838" s="1" t="s">
        <v>17</v>
      </c>
      <c r="E838" s="1" t="s">
        <v>25</v>
      </c>
      <c r="F838" s="1" t="s">
        <v>30</v>
      </c>
      <c r="G838" s="1" t="s">
        <v>56</v>
      </c>
      <c r="H838" s="1">
        <v>1287</v>
      </c>
      <c r="I838" s="1">
        <v>20</v>
      </c>
      <c r="J838" s="1">
        <v>1</v>
      </c>
      <c r="K838" s="2">
        <v>1553.27</v>
      </c>
      <c r="L838" s="1">
        <v>0</v>
      </c>
      <c r="M838" s="1">
        <v>0.68799999999999994</v>
      </c>
      <c r="N838" s="1">
        <v>6</v>
      </c>
      <c r="O838" s="4" t="s">
        <v>1936</v>
      </c>
    </row>
    <row r="839" spans="1:15" x14ac:dyDescent="0.3">
      <c r="A839" s="1" t="s">
        <v>1675</v>
      </c>
      <c r="B839" s="1" t="s">
        <v>1676</v>
      </c>
      <c r="C839" s="2">
        <v>42089.02</v>
      </c>
      <c r="D839" s="1" t="s">
        <v>17</v>
      </c>
      <c r="E839" s="1" t="s">
        <v>39</v>
      </c>
      <c r="F839" s="1" t="s">
        <v>30</v>
      </c>
      <c r="G839" s="1" t="s">
        <v>20</v>
      </c>
      <c r="H839" s="1">
        <v>1857</v>
      </c>
      <c r="I839" s="1">
        <v>19</v>
      </c>
      <c r="J839" s="1">
        <v>2</v>
      </c>
      <c r="K839" s="2">
        <v>20613.97</v>
      </c>
      <c r="L839" s="1">
        <v>0</v>
      </c>
      <c r="M839" s="1">
        <v>0.95</v>
      </c>
      <c r="N839" s="1">
        <v>2</v>
      </c>
      <c r="O839" s="4" t="s">
        <v>1936</v>
      </c>
    </row>
    <row r="840" spans="1:15" x14ac:dyDescent="0.3">
      <c r="A840" s="1" t="s">
        <v>1677</v>
      </c>
      <c r="B840" s="1" t="s">
        <v>1678</v>
      </c>
      <c r="C840" s="2">
        <v>19576.330000000002</v>
      </c>
      <c r="D840" s="1" t="s">
        <v>24</v>
      </c>
      <c r="E840" s="1" t="s">
        <v>25</v>
      </c>
      <c r="F840" s="1" t="s">
        <v>26</v>
      </c>
      <c r="G840" s="1" t="s">
        <v>20</v>
      </c>
      <c r="H840" s="1">
        <v>836</v>
      </c>
      <c r="I840" s="1">
        <v>6</v>
      </c>
      <c r="J840" s="1">
        <v>1</v>
      </c>
      <c r="K840" s="2">
        <v>14183.86</v>
      </c>
      <c r="L840" s="1">
        <v>0</v>
      </c>
      <c r="M840" s="1">
        <v>0.14399999999999999</v>
      </c>
      <c r="N840" s="1">
        <v>8</v>
      </c>
      <c r="O840" s="4" t="s">
        <v>1936</v>
      </c>
    </row>
    <row r="841" spans="1:15" x14ac:dyDescent="0.3">
      <c r="A841" s="1" t="s">
        <v>1679</v>
      </c>
      <c r="B841" s="1" t="s">
        <v>1680</v>
      </c>
      <c r="C841" s="2">
        <v>12120.86</v>
      </c>
      <c r="D841" s="1" t="s">
        <v>51</v>
      </c>
      <c r="E841" s="1" t="s">
        <v>18</v>
      </c>
      <c r="F841" s="1" t="s">
        <v>19</v>
      </c>
      <c r="G841" s="1" t="s">
        <v>46</v>
      </c>
      <c r="H841" s="1">
        <v>108</v>
      </c>
      <c r="I841" s="1">
        <v>20</v>
      </c>
      <c r="J841" s="1">
        <v>2</v>
      </c>
      <c r="K841" s="2">
        <v>20468.78</v>
      </c>
      <c r="L841" s="1">
        <v>0</v>
      </c>
      <c r="M841" s="1">
        <v>8.4000000000000005E-2</v>
      </c>
      <c r="N841" s="1">
        <v>8</v>
      </c>
      <c r="O841" s="4" t="s">
        <v>1936</v>
      </c>
    </row>
    <row r="842" spans="1:15" x14ac:dyDescent="0.3">
      <c r="A842" s="1" t="s">
        <v>1681</v>
      </c>
      <c r="B842" s="1" t="s">
        <v>1682</v>
      </c>
      <c r="C842" s="2">
        <v>15879.36</v>
      </c>
      <c r="D842" s="1" t="s">
        <v>24</v>
      </c>
      <c r="E842" s="1" t="s">
        <v>25</v>
      </c>
      <c r="F842" s="1" t="s">
        <v>19</v>
      </c>
      <c r="G842" s="1" t="s">
        <v>36</v>
      </c>
      <c r="H842" s="1">
        <v>1814</v>
      </c>
      <c r="I842" s="1">
        <v>6</v>
      </c>
      <c r="J842" s="1">
        <v>2</v>
      </c>
      <c r="K842" s="2">
        <v>28177</v>
      </c>
      <c r="L842" s="1">
        <v>0</v>
      </c>
      <c r="M842" s="1">
        <v>0.221</v>
      </c>
      <c r="N842" s="1">
        <v>5</v>
      </c>
      <c r="O842" s="4" t="s">
        <v>1936</v>
      </c>
    </row>
    <row r="843" spans="1:15" x14ac:dyDescent="0.3">
      <c r="A843" s="1" t="s">
        <v>1683</v>
      </c>
      <c r="B843" s="1" t="s">
        <v>1684</v>
      </c>
      <c r="C843" s="2">
        <v>28486.78</v>
      </c>
      <c r="D843" s="1" t="s">
        <v>51</v>
      </c>
      <c r="E843" s="1" t="s">
        <v>29</v>
      </c>
      <c r="F843" s="1" t="s">
        <v>26</v>
      </c>
      <c r="G843" s="1" t="s">
        <v>56</v>
      </c>
      <c r="H843" s="1">
        <v>1645</v>
      </c>
      <c r="I843" s="1">
        <v>3</v>
      </c>
      <c r="J843" s="1">
        <v>2</v>
      </c>
      <c r="K843" s="2">
        <v>22725.03</v>
      </c>
      <c r="L843" s="1">
        <v>0</v>
      </c>
      <c r="M843" s="1">
        <v>0.83899999999999997</v>
      </c>
      <c r="N843" s="1">
        <v>2</v>
      </c>
      <c r="O843" s="4" t="s">
        <v>1936</v>
      </c>
    </row>
    <row r="844" spans="1:15" x14ac:dyDescent="0.3">
      <c r="A844" s="1" t="s">
        <v>1685</v>
      </c>
      <c r="B844" s="1" t="s">
        <v>1686</v>
      </c>
      <c r="C844" s="2">
        <v>2605.7199999999998</v>
      </c>
      <c r="D844" s="1" t="s">
        <v>51</v>
      </c>
      <c r="E844" s="1" t="s">
        <v>25</v>
      </c>
      <c r="F844" s="1" t="s">
        <v>30</v>
      </c>
      <c r="G844" s="1" t="s">
        <v>56</v>
      </c>
      <c r="H844" s="1">
        <v>526</v>
      </c>
      <c r="I844" s="1">
        <v>22</v>
      </c>
      <c r="J844" s="1">
        <v>3</v>
      </c>
      <c r="K844" s="2">
        <v>17246.09</v>
      </c>
      <c r="L844" s="1">
        <v>0</v>
      </c>
      <c r="M844" s="1">
        <v>0.97599999999999998</v>
      </c>
      <c r="N844" s="1">
        <v>3</v>
      </c>
      <c r="O844" s="4" t="s">
        <v>1936</v>
      </c>
    </row>
    <row r="845" spans="1:15" x14ac:dyDescent="0.3">
      <c r="A845" s="1" t="s">
        <v>1687</v>
      </c>
      <c r="B845" s="1" t="s">
        <v>1688</v>
      </c>
      <c r="C845" s="2">
        <v>24625.49</v>
      </c>
      <c r="D845" s="1" t="s">
        <v>24</v>
      </c>
      <c r="E845" s="1" t="s">
        <v>29</v>
      </c>
      <c r="F845" s="1" t="s">
        <v>19</v>
      </c>
      <c r="G845" s="1" t="s">
        <v>56</v>
      </c>
      <c r="H845" s="1">
        <v>1230</v>
      </c>
      <c r="I845" s="1">
        <v>9</v>
      </c>
      <c r="J845" s="1">
        <v>3</v>
      </c>
      <c r="K845" s="2">
        <v>5873.95</v>
      </c>
      <c r="L845" s="1">
        <v>0</v>
      </c>
      <c r="M845" s="1">
        <v>0.96399999999999997</v>
      </c>
      <c r="N845" s="1">
        <v>3</v>
      </c>
      <c r="O845" s="4" t="s">
        <v>1936</v>
      </c>
    </row>
    <row r="846" spans="1:15" x14ac:dyDescent="0.3">
      <c r="A846" s="1" t="s">
        <v>1689</v>
      </c>
      <c r="B846" s="1" t="s">
        <v>1690</v>
      </c>
      <c r="C846" s="2">
        <v>41417.879999999997</v>
      </c>
      <c r="D846" s="1" t="s">
        <v>51</v>
      </c>
      <c r="E846" s="1" t="s">
        <v>25</v>
      </c>
      <c r="F846" s="1" t="s">
        <v>19</v>
      </c>
      <c r="G846" s="1" t="s">
        <v>20</v>
      </c>
      <c r="H846" s="1">
        <v>1038</v>
      </c>
      <c r="I846" s="1">
        <v>14</v>
      </c>
      <c r="J846" s="1">
        <v>1</v>
      </c>
      <c r="K846" s="2">
        <v>24483.18</v>
      </c>
      <c r="L846" s="1">
        <v>0</v>
      </c>
      <c r="M846" s="1">
        <v>0.44500000000000001</v>
      </c>
      <c r="N846" s="1">
        <v>7</v>
      </c>
      <c r="O846" s="4" t="s">
        <v>1936</v>
      </c>
    </row>
    <row r="847" spans="1:15" x14ac:dyDescent="0.3">
      <c r="A847" s="1" t="s">
        <v>1691</v>
      </c>
      <c r="B847" s="1" t="s">
        <v>1692</v>
      </c>
      <c r="C847" s="2">
        <v>41100.870000000003</v>
      </c>
      <c r="D847" s="1" t="s">
        <v>24</v>
      </c>
      <c r="E847" s="1" t="s">
        <v>29</v>
      </c>
      <c r="F847" s="1" t="s">
        <v>19</v>
      </c>
      <c r="G847" s="1" t="s">
        <v>56</v>
      </c>
      <c r="H847" s="1">
        <v>462</v>
      </c>
      <c r="I847" s="1">
        <v>6</v>
      </c>
      <c r="J847" s="1">
        <v>1</v>
      </c>
      <c r="K847" s="2">
        <v>11021.73</v>
      </c>
      <c r="L847" s="1">
        <v>0</v>
      </c>
      <c r="M847" s="1">
        <v>0.19600000000000001</v>
      </c>
      <c r="N847" s="1">
        <v>1</v>
      </c>
      <c r="O847" s="4" t="s">
        <v>1936</v>
      </c>
    </row>
    <row r="848" spans="1:15" x14ac:dyDescent="0.3">
      <c r="A848" s="1" t="s">
        <v>1693</v>
      </c>
      <c r="B848" s="1" t="s">
        <v>1694</v>
      </c>
      <c r="C848" s="2">
        <v>18146.560000000001</v>
      </c>
      <c r="D848" s="1" t="s">
        <v>24</v>
      </c>
      <c r="E848" s="1" t="s">
        <v>39</v>
      </c>
      <c r="F848" s="1" t="s">
        <v>26</v>
      </c>
      <c r="G848" s="1" t="s">
        <v>36</v>
      </c>
      <c r="H848" s="1">
        <v>1724</v>
      </c>
      <c r="I848" s="1">
        <v>15</v>
      </c>
      <c r="J848" s="1">
        <v>2</v>
      </c>
      <c r="K848" s="2">
        <v>18580.79</v>
      </c>
      <c r="L848" s="1">
        <v>0</v>
      </c>
      <c r="M848" s="1">
        <v>0.96199999999999997</v>
      </c>
      <c r="N848" s="1">
        <v>1</v>
      </c>
      <c r="O848" s="4" t="s">
        <v>1936</v>
      </c>
    </row>
    <row r="849" spans="1:15" x14ac:dyDescent="0.3">
      <c r="A849" s="1" t="s">
        <v>1695</v>
      </c>
      <c r="B849" s="1" t="s">
        <v>1696</v>
      </c>
      <c r="C849" s="2">
        <v>43491.31</v>
      </c>
      <c r="D849" s="1" t="s">
        <v>51</v>
      </c>
      <c r="E849" s="1" t="s">
        <v>18</v>
      </c>
      <c r="F849" s="1" t="s">
        <v>26</v>
      </c>
      <c r="G849" s="1" t="s">
        <v>56</v>
      </c>
      <c r="H849" s="1">
        <v>1680</v>
      </c>
      <c r="I849" s="1">
        <v>3</v>
      </c>
      <c r="J849" s="1">
        <v>2</v>
      </c>
      <c r="K849" s="2">
        <v>24889.26</v>
      </c>
      <c r="L849" s="1">
        <v>0</v>
      </c>
      <c r="M849" s="1">
        <v>0.79600000000000004</v>
      </c>
      <c r="N849" s="1">
        <v>2</v>
      </c>
      <c r="O849" s="4" t="s">
        <v>1936</v>
      </c>
    </row>
    <row r="850" spans="1:15" x14ac:dyDescent="0.3">
      <c r="A850" s="1" t="s">
        <v>1697</v>
      </c>
      <c r="B850" s="1" t="s">
        <v>1698</v>
      </c>
      <c r="C850" s="2">
        <v>22479.439999999999</v>
      </c>
      <c r="D850" s="1" t="s">
        <v>24</v>
      </c>
      <c r="E850" s="1" t="s">
        <v>18</v>
      </c>
      <c r="F850" s="1" t="s">
        <v>30</v>
      </c>
      <c r="G850" s="1" t="s">
        <v>20</v>
      </c>
      <c r="H850" s="1">
        <v>954</v>
      </c>
      <c r="I850" s="1">
        <v>5</v>
      </c>
      <c r="J850" s="1">
        <v>4</v>
      </c>
      <c r="K850" s="2">
        <v>3225.46</v>
      </c>
      <c r="L850" s="1">
        <v>1</v>
      </c>
      <c r="M850" s="1">
        <v>9.9000000000000005E-2</v>
      </c>
      <c r="N850" s="1">
        <v>8</v>
      </c>
      <c r="O850" s="4" t="s">
        <v>1936</v>
      </c>
    </row>
    <row r="851" spans="1:15" x14ac:dyDescent="0.3">
      <c r="A851" s="1" t="s">
        <v>1699</v>
      </c>
      <c r="B851" s="1" t="s">
        <v>1700</v>
      </c>
      <c r="C851" s="2">
        <v>9665.0300000000007</v>
      </c>
      <c r="D851" s="1" t="s">
        <v>51</v>
      </c>
      <c r="E851" s="1" t="s">
        <v>18</v>
      </c>
      <c r="F851" s="1" t="s">
        <v>19</v>
      </c>
      <c r="G851" s="1" t="s">
        <v>20</v>
      </c>
      <c r="H851" s="1">
        <v>1907</v>
      </c>
      <c r="I851" s="1">
        <v>8</v>
      </c>
      <c r="J851" s="1">
        <v>0</v>
      </c>
      <c r="K851" s="2">
        <v>3453.92</v>
      </c>
      <c r="L851" s="1">
        <v>0</v>
      </c>
      <c r="M851" s="1">
        <v>0.14000000000000001</v>
      </c>
      <c r="N851" s="1">
        <v>8</v>
      </c>
      <c r="O851" s="4" t="s">
        <v>1936</v>
      </c>
    </row>
    <row r="852" spans="1:15" x14ac:dyDescent="0.3">
      <c r="A852" s="1" t="s">
        <v>1701</v>
      </c>
      <c r="B852" s="1" t="s">
        <v>1702</v>
      </c>
      <c r="C852" s="2">
        <v>2485.88</v>
      </c>
      <c r="D852" s="1" t="s">
        <v>17</v>
      </c>
      <c r="E852" s="1" t="s">
        <v>25</v>
      </c>
      <c r="F852" s="1" t="s">
        <v>30</v>
      </c>
      <c r="G852" s="1" t="s">
        <v>56</v>
      </c>
      <c r="H852" s="1">
        <v>239</v>
      </c>
      <c r="I852" s="1">
        <v>11</v>
      </c>
      <c r="J852" s="1">
        <v>3</v>
      </c>
      <c r="K852" s="2">
        <v>24468.84</v>
      </c>
      <c r="L852" s="1">
        <v>0</v>
      </c>
      <c r="M852" s="1">
        <v>0.72799999999999998</v>
      </c>
      <c r="N852" s="1">
        <v>7</v>
      </c>
      <c r="O852" s="4" t="s">
        <v>1936</v>
      </c>
    </row>
    <row r="853" spans="1:15" x14ac:dyDescent="0.3">
      <c r="A853" s="1" t="s">
        <v>1703</v>
      </c>
      <c r="B853" s="1" t="s">
        <v>1704</v>
      </c>
      <c r="C853" s="2">
        <v>42025.39</v>
      </c>
      <c r="D853" s="1" t="s">
        <v>17</v>
      </c>
      <c r="E853" s="1" t="s">
        <v>25</v>
      </c>
      <c r="F853" s="1" t="s">
        <v>19</v>
      </c>
      <c r="G853" s="1" t="s">
        <v>31</v>
      </c>
      <c r="H853" s="1">
        <v>743</v>
      </c>
      <c r="I853" s="1">
        <v>9</v>
      </c>
      <c r="J853" s="1">
        <v>1</v>
      </c>
      <c r="K853" s="2">
        <v>10551.86</v>
      </c>
      <c r="L853" s="1">
        <v>0</v>
      </c>
      <c r="M853" s="1">
        <v>0.34399999999999997</v>
      </c>
      <c r="N853" s="1">
        <v>3</v>
      </c>
      <c r="O853" s="4" t="s">
        <v>1936</v>
      </c>
    </row>
    <row r="854" spans="1:15" x14ac:dyDescent="0.3">
      <c r="A854" s="1" t="s">
        <v>1705</v>
      </c>
      <c r="B854" s="1" t="s">
        <v>1706</v>
      </c>
      <c r="C854" s="2">
        <v>6349.2</v>
      </c>
      <c r="D854" s="1" t="s">
        <v>24</v>
      </c>
      <c r="E854" s="1" t="s">
        <v>29</v>
      </c>
      <c r="F854" s="1" t="s">
        <v>19</v>
      </c>
      <c r="G854" s="1" t="s">
        <v>56</v>
      </c>
      <c r="H854" s="1">
        <v>1616</v>
      </c>
      <c r="I854" s="1">
        <v>14</v>
      </c>
      <c r="J854" s="1">
        <v>3</v>
      </c>
      <c r="K854" s="2">
        <v>22420.68</v>
      </c>
      <c r="L854" s="1">
        <v>0</v>
      </c>
      <c r="M854" s="1">
        <v>0.89200000000000002</v>
      </c>
      <c r="N854" s="1">
        <v>2</v>
      </c>
      <c r="O854" s="4" t="s">
        <v>1936</v>
      </c>
    </row>
    <row r="855" spans="1:15" x14ac:dyDescent="0.3">
      <c r="A855" s="1" t="s">
        <v>1707</v>
      </c>
      <c r="B855" s="1" t="s">
        <v>1708</v>
      </c>
      <c r="C855" s="2">
        <v>9245.86</v>
      </c>
      <c r="D855" s="1" t="s">
        <v>51</v>
      </c>
      <c r="E855" s="1" t="s">
        <v>25</v>
      </c>
      <c r="F855" s="1" t="s">
        <v>30</v>
      </c>
      <c r="G855" s="1" t="s">
        <v>31</v>
      </c>
      <c r="H855" s="1">
        <v>315</v>
      </c>
      <c r="I855" s="1">
        <v>18</v>
      </c>
      <c r="J855" s="1">
        <v>2</v>
      </c>
      <c r="K855" s="2">
        <v>26131.77</v>
      </c>
      <c r="L855" s="1">
        <v>0</v>
      </c>
      <c r="M855" s="1">
        <v>0.28499999999999998</v>
      </c>
      <c r="N855" s="1">
        <v>8</v>
      </c>
      <c r="O855" s="4" t="s">
        <v>1936</v>
      </c>
    </row>
    <row r="856" spans="1:15" x14ac:dyDescent="0.3">
      <c r="A856" s="1" t="s">
        <v>1709</v>
      </c>
      <c r="B856" s="1" t="s">
        <v>1710</v>
      </c>
      <c r="C856" s="2">
        <v>42550.1</v>
      </c>
      <c r="D856" s="1" t="s">
        <v>51</v>
      </c>
      <c r="E856" s="1" t="s">
        <v>25</v>
      </c>
      <c r="F856" s="1" t="s">
        <v>19</v>
      </c>
      <c r="G856" s="1" t="s">
        <v>36</v>
      </c>
      <c r="H856" s="1">
        <v>1425</v>
      </c>
      <c r="I856" s="1">
        <v>12</v>
      </c>
      <c r="J856" s="1">
        <v>1</v>
      </c>
      <c r="K856" s="2">
        <v>1187.51</v>
      </c>
      <c r="L856" s="1">
        <v>0</v>
      </c>
      <c r="M856" s="1">
        <v>0.56599999999999995</v>
      </c>
      <c r="N856" s="1">
        <v>5</v>
      </c>
      <c r="O856" s="4" t="s">
        <v>1936</v>
      </c>
    </row>
    <row r="857" spans="1:15" x14ac:dyDescent="0.3">
      <c r="A857" s="1" t="s">
        <v>1711</v>
      </c>
      <c r="B857" s="1" t="s">
        <v>1712</v>
      </c>
      <c r="C857" s="2">
        <v>7373.4</v>
      </c>
      <c r="D857" s="1" t="s">
        <v>24</v>
      </c>
      <c r="E857" s="1" t="s">
        <v>39</v>
      </c>
      <c r="F857" s="1" t="s">
        <v>19</v>
      </c>
      <c r="G857" s="1" t="s">
        <v>36</v>
      </c>
      <c r="H857" s="1">
        <v>1531</v>
      </c>
      <c r="I857" s="1">
        <v>18</v>
      </c>
      <c r="J857" s="1">
        <v>4</v>
      </c>
      <c r="K857" s="2">
        <v>22444.560000000001</v>
      </c>
      <c r="L857" s="1">
        <v>1</v>
      </c>
      <c r="M857" s="1">
        <v>0.45100000000000001</v>
      </c>
      <c r="N857" s="1">
        <v>1</v>
      </c>
      <c r="O857" s="4" t="s">
        <v>1936</v>
      </c>
    </row>
    <row r="858" spans="1:15" x14ac:dyDescent="0.3">
      <c r="A858" s="1" t="s">
        <v>1713</v>
      </c>
      <c r="B858" s="1" t="s">
        <v>1714</v>
      </c>
      <c r="C858" s="2">
        <v>43743.45</v>
      </c>
      <c r="D858" s="1" t="s">
        <v>17</v>
      </c>
      <c r="E858" s="1" t="s">
        <v>29</v>
      </c>
      <c r="F858" s="1" t="s">
        <v>26</v>
      </c>
      <c r="G858" s="1" t="s">
        <v>36</v>
      </c>
      <c r="H858" s="1">
        <v>1069</v>
      </c>
      <c r="I858" s="1">
        <v>17</v>
      </c>
      <c r="J858" s="1">
        <v>2</v>
      </c>
      <c r="K858" s="2">
        <v>29826.31</v>
      </c>
      <c r="L858" s="1">
        <v>0</v>
      </c>
      <c r="M858" s="1">
        <v>0.372</v>
      </c>
      <c r="N858" s="1">
        <v>8</v>
      </c>
      <c r="O858" s="4" t="s">
        <v>1936</v>
      </c>
    </row>
    <row r="859" spans="1:15" x14ac:dyDescent="0.3">
      <c r="A859" s="1" t="s">
        <v>1715</v>
      </c>
      <c r="B859" s="1" t="s">
        <v>1716</v>
      </c>
      <c r="C859" s="2">
        <v>13436.46</v>
      </c>
      <c r="D859" s="1" t="s">
        <v>24</v>
      </c>
      <c r="E859" s="1" t="s">
        <v>29</v>
      </c>
      <c r="F859" s="1" t="s">
        <v>30</v>
      </c>
      <c r="G859" s="1" t="s">
        <v>20</v>
      </c>
      <c r="H859" s="1">
        <v>1680</v>
      </c>
      <c r="I859" s="1">
        <v>3</v>
      </c>
      <c r="J859" s="1">
        <v>0</v>
      </c>
      <c r="K859" s="2">
        <v>18511.34</v>
      </c>
      <c r="L859" s="1">
        <v>0</v>
      </c>
      <c r="M859" s="1">
        <v>0.96599999999999997</v>
      </c>
      <c r="N859" s="1">
        <v>7</v>
      </c>
      <c r="O859" s="4" t="s">
        <v>1936</v>
      </c>
    </row>
    <row r="860" spans="1:15" x14ac:dyDescent="0.3">
      <c r="A860" s="1" t="s">
        <v>1717</v>
      </c>
      <c r="B860" s="1" t="s">
        <v>1718</v>
      </c>
      <c r="C860" s="2">
        <v>29059.39</v>
      </c>
      <c r="D860" s="1" t="s">
        <v>17</v>
      </c>
      <c r="E860" s="1" t="s">
        <v>39</v>
      </c>
      <c r="F860" s="1" t="s">
        <v>19</v>
      </c>
      <c r="G860" s="1" t="s">
        <v>46</v>
      </c>
      <c r="H860" s="1">
        <v>1470</v>
      </c>
      <c r="I860" s="1">
        <v>16</v>
      </c>
      <c r="J860" s="1">
        <v>1</v>
      </c>
      <c r="K860" s="2">
        <v>4146.66</v>
      </c>
      <c r="L860" s="1">
        <v>0</v>
      </c>
      <c r="M860" s="1">
        <v>0.94799999999999995</v>
      </c>
      <c r="N860" s="1">
        <v>5</v>
      </c>
      <c r="O860" s="4" t="s">
        <v>1936</v>
      </c>
    </row>
    <row r="861" spans="1:15" x14ac:dyDescent="0.3">
      <c r="A861" s="1" t="s">
        <v>1719</v>
      </c>
      <c r="B861" s="1" t="s">
        <v>1720</v>
      </c>
      <c r="C861" s="2">
        <v>24862.33</v>
      </c>
      <c r="D861" s="1" t="s">
        <v>24</v>
      </c>
      <c r="E861" s="1" t="s">
        <v>39</v>
      </c>
      <c r="F861" s="1" t="s">
        <v>26</v>
      </c>
      <c r="G861" s="1" t="s">
        <v>20</v>
      </c>
      <c r="H861" s="1">
        <v>1401</v>
      </c>
      <c r="I861" s="1">
        <v>6</v>
      </c>
      <c r="J861" s="1">
        <v>1</v>
      </c>
      <c r="K861" s="2">
        <v>13618.04</v>
      </c>
      <c r="L861" s="1">
        <v>0</v>
      </c>
      <c r="M861" s="1">
        <v>3.6999999999999998E-2</v>
      </c>
      <c r="N861" s="1">
        <v>2</v>
      </c>
      <c r="O861" s="4" t="s">
        <v>1936</v>
      </c>
    </row>
    <row r="862" spans="1:15" x14ac:dyDescent="0.3">
      <c r="A862" s="1" t="s">
        <v>1721</v>
      </c>
      <c r="B862" s="1" t="s">
        <v>1722</v>
      </c>
      <c r="C862" s="2">
        <v>6512.56</v>
      </c>
      <c r="D862" s="1" t="s">
        <v>17</v>
      </c>
      <c r="E862" s="1" t="s">
        <v>18</v>
      </c>
      <c r="F862" s="1" t="s">
        <v>26</v>
      </c>
      <c r="G862" s="1" t="s">
        <v>46</v>
      </c>
      <c r="H862" s="1">
        <v>812</v>
      </c>
      <c r="I862" s="1">
        <v>18</v>
      </c>
      <c r="J862" s="1">
        <v>3</v>
      </c>
      <c r="K862" s="2">
        <v>18888.11</v>
      </c>
      <c r="L862" s="1">
        <v>0</v>
      </c>
      <c r="M862" s="1">
        <v>0.60799999999999998</v>
      </c>
      <c r="N862" s="1">
        <v>7</v>
      </c>
      <c r="O862" s="4" t="s">
        <v>1936</v>
      </c>
    </row>
    <row r="863" spans="1:15" x14ac:dyDescent="0.3">
      <c r="A863" s="1" t="s">
        <v>1723</v>
      </c>
      <c r="B863" s="1" t="s">
        <v>1724</v>
      </c>
      <c r="C863" s="2">
        <v>33337.040000000001</v>
      </c>
      <c r="D863" s="1" t="s">
        <v>17</v>
      </c>
      <c r="E863" s="1" t="s">
        <v>18</v>
      </c>
      <c r="F863" s="1" t="s">
        <v>19</v>
      </c>
      <c r="G863" s="1" t="s">
        <v>36</v>
      </c>
      <c r="H863" s="1">
        <v>1743</v>
      </c>
      <c r="I863" s="1">
        <v>9</v>
      </c>
      <c r="J863" s="1">
        <v>1</v>
      </c>
      <c r="K863" s="2">
        <v>25991.24</v>
      </c>
      <c r="L863" s="1">
        <v>0</v>
      </c>
      <c r="M863" s="1">
        <v>0.97699999999999998</v>
      </c>
      <c r="N863" s="1">
        <v>5</v>
      </c>
      <c r="O863" s="4" t="s">
        <v>1936</v>
      </c>
    </row>
    <row r="864" spans="1:15" x14ac:dyDescent="0.3">
      <c r="A864" s="1" t="s">
        <v>1725</v>
      </c>
      <c r="B864" s="1" t="s">
        <v>1726</v>
      </c>
      <c r="C864" s="2">
        <v>14305.93</v>
      </c>
      <c r="D864" s="1" t="s">
        <v>24</v>
      </c>
      <c r="E864" s="1" t="s">
        <v>39</v>
      </c>
      <c r="F864" s="1" t="s">
        <v>19</v>
      </c>
      <c r="G864" s="1" t="s">
        <v>56</v>
      </c>
      <c r="H864" s="1">
        <v>279</v>
      </c>
      <c r="I864" s="1">
        <v>14</v>
      </c>
      <c r="J864" s="1">
        <v>4</v>
      </c>
      <c r="K864" s="2">
        <v>21105.360000000001</v>
      </c>
      <c r="L864" s="1">
        <v>0</v>
      </c>
      <c r="M864" s="1">
        <v>0.28799999999999998</v>
      </c>
      <c r="N864" s="1">
        <v>1</v>
      </c>
      <c r="O864" s="4" t="s">
        <v>1936</v>
      </c>
    </row>
    <row r="865" spans="1:15" x14ac:dyDescent="0.3">
      <c r="A865" s="1" t="s">
        <v>1727</v>
      </c>
      <c r="B865" s="1" t="s">
        <v>1728</v>
      </c>
      <c r="C865" s="2">
        <v>11987.93</v>
      </c>
      <c r="D865" s="1" t="s">
        <v>17</v>
      </c>
      <c r="E865" s="1" t="s">
        <v>18</v>
      </c>
      <c r="F865" s="1" t="s">
        <v>30</v>
      </c>
      <c r="G865" s="1" t="s">
        <v>36</v>
      </c>
      <c r="H865" s="1">
        <v>1509</v>
      </c>
      <c r="I865" s="1">
        <v>21</v>
      </c>
      <c r="J865" s="1">
        <v>3</v>
      </c>
      <c r="K865" s="2">
        <v>21438.15</v>
      </c>
      <c r="L865" s="1">
        <v>0</v>
      </c>
      <c r="M865" s="1">
        <v>0.21199999999999999</v>
      </c>
      <c r="N865" s="1">
        <v>4</v>
      </c>
      <c r="O865" s="4" t="s">
        <v>1936</v>
      </c>
    </row>
    <row r="866" spans="1:15" x14ac:dyDescent="0.3">
      <c r="A866" s="1" t="s">
        <v>1729</v>
      </c>
      <c r="B866" s="1" t="s">
        <v>1730</v>
      </c>
      <c r="C866" s="2">
        <v>30833.72</v>
      </c>
      <c r="D866" s="1" t="s">
        <v>17</v>
      </c>
      <c r="E866" s="1" t="s">
        <v>29</v>
      </c>
      <c r="F866" s="1" t="s">
        <v>19</v>
      </c>
      <c r="G866" s="1" t="s">
        <v>20</v>
      </c>
      <c r="H866" s="1">
        <v>769</v>
      </c>
      <c r="I866" s="1">
        <v>13</v>
      </c>
      <c r="J866" s="1">
        <v>3</v>
      </c>
      <c r="K866" s="2">
        <v>17255.61</v>
      </c>
      <c r="L866" s="1">
        <v>0</v>
      </c>
      <c r="M866" s="1">
        <v>0.35799999999999998</v>
      </c>
      <c r="N866" s="1">
        <v>9</v>
      </c>
      <c r="O866" s="4" t="s">
        <v>1936</v>
      </c>
    </row>
    <row r="867" spans="1:15" x14ac:dyDescent="0.3">
      <c r="A867" s="1" t="s">
        <v>1731</v>
      </c>
      <c r="B867" s="1" t="s">
        <v>1732</v>
      </c>
      <c r="C867" s="2">
        <v>40556.21</v>
      </c>
      <c r="D867" s="1" t="s">
        <v>51</v>
      </c>
      <c r="E867" s="1" t="s">
        <v>18</v>
      </c>
      <c r="F867" s="1" t="s">
        <v>19</v>
      </c>
      <c r="G867" s="1" t="s">
        <v>20</v>
      </c>
      <c r="H867" s="1">
        <v>886</v>
      </c>
      <c r="I867" s="1">
        <v>5</v>
      </c>
      <c r="J867" s="1">
        <v>0</v>
      </c>
      <c r="K867" s="2">
        <v>25932.87</v>
      </c>
      <c r="L867" s="1">
        <v>1</v>
      </c>
      <c r="M867" s="1">
        <v>0.23899999999999999</v>
      </c>
      <c r="N867" s="1">
        <v>4</v>
      </c>
      <c r="O867" s="4" t="s">
        <v>1936</v>
      </c>
    </row>
    <row r="868" spans="1:15" x14ac:dyDescent="0.3">
      <c r="A868" s="1" t="s">
        <v>1733</v>
      </c>
      <c r="B868" s="1" t="s">
        <v>1734</v>
      </c>
      <c r="C868" s="2">
        <v>48020.32</v>
      </c>
      <c r="D868" s="1" t="s">
        <v>17</v>
      </c>
      <c r="E868" s="1" t="s">
        <v>18</v>
      </c>
      <c r="F868" s="1" t="s">
        <v>30</v>
      </c>
      <c r="G868" s="1" t="s">
        <v>36</v>
      </c>
      <c r="H868" s="1">
        <v>1722</v>
      </c>
      <c r="I868" s="1">
        <v>23</v>
      </c>
      <c r="J868" s="1">
        <v>1</v>
      </c>
      <c r="K868" s="2">
        <v>4528.3999999999996</v>
      </c>
      <c r="L868" s="1">
        <v>0</v>
      </c>
      <c r="M868" s="1">
        <v>0.32800000000000001</v>
      </c>
      <c r="N868" s="1">
        <v>2</v>
      </c>
      <c r="O868" s="4" t="s">
        <v>1936</v>
      </c>
    </row>
    <row r="869" spans="1:15" x14ac:dyDescent="0.3">
      <c r="A869" s="1" t="s">
        <v>1735</v>
      </c>
      <c r="B869" s="1" t="s">
        <v>1736</v>
      </c>
      <c r="C869" s="2">
        <v>27123.66</v>
      </c>
      <c r="D869" s="1" t="s">
        <v>24</v>
      </c>
      <c r="E869" s="1" t="s">
        <v>29</v>
      </c>
      <c r="F869" s="1" t="s">
        <v>19</v>
      </c>
      <c r="G869" s="1" t="s">
        <v>46</v>
      </c>
      <c r="H869" s="1">
        <v>1220</v>
      </c>
      <c r="I869" s="1">
        <v>14</v>
      </c>
      <c r="J869" s="1">
        <v>1</v>
      </c>
      <c r="K869" s="2">
        <v>26218.42</v>
      </c>
      <c r="L869" s="1">
        <v>1</v>
      </c>
      <c r="M869" s="1">
        <v>5.1999999999999998E-2</v>
      </c>
      <c r="N869" s="1">
        <v>6</v>
      </c>
      <c r="O869" s="4" t="s">
        <v>1936</v>
      </c>
    </row>
    <row r="870" spans="1:15" x14ac:dyDescent="0.3">
      <c r="A870" s="1" t="s">
        <v>1737</v>
      </c>
      <c r="B870" s="1" t="s">
        <v>1738</v>
      </c>
      <c r="C870" s="2">
        <v>5006.92</v>
      </c>
      <c r="D870" s="1" t="s">
        <v>51</v>
      </c>
      <c r="E870" s="1" t="s">
        <v>29</v>
      </c>
      <c r="F870" s="1" t="s">
        <v>19</v>
      </c>
      <c r="G870" s="1" t="s">
        <v>36</v>
      </c>
      <c r="H870" s="1">
        <v>727</v>
      </c>
      <c r="I870" s="1">
        <v>7</v>
      </c>
      <c r="J870" s="1">
        <v>2</v>
      </c>
      <c r="K870" s="2">
        <v>26696.93</v>
      </c>
      <c r="L870" s="1">
        <v>0</v>
      </c>
      <c r="M870" s="1">
        <v>0.57699999999999996</v>
      </c>
      <c r="N870" s="1">
        <v>8</v>
      </c>
      <c r="O870" s="4" t="s">
        <v>1936</v>
      </c>
    </row>
    <row r="871" spans="1:15" x14ac:dyDescent="0.3">
      <c r="A871" s="1" t="s">
        <v>1739</v>
      </c>
      <c r="B871" s="1" t="s">
        <v>1740</v>
      </c>
      <c r="C871" s="2">
        <v>25700.22</v>
      </c>
      <c r="D871" s="1" t="s">
        <v>17</v>
      </c>
      <c r="E871" s="1" t="s">
        <v>25</v>
      </c>
      <c r="F871" s="1" t="s">
        <v>30</v>
      </c>
      <c r="G871" s="1" t="s">
        <v>20</v>
      </c>
      <c r="H871" s="1">
        <v>1930</v>
      </c>
      <c r="I871" s="1">
        <v>15</v>
      </c>
      <c r="J871" s="1">
        <v>3</v>
      </c>
      <c r="K871" s="2">
        <v>5705.48</v>
      </c>
      <c r="L871" s="1">
        <v>1</v>
      </c>
      <c r="M871" s="1">
        <v>0.40699999999999997</v>
      </c>
      <c r="N871" s="1">
        <v>6</v>
      </c>
      <c r="O871" s="4" t="s">
        <v>1936</v>
      </c>
    </row>
    <row r="872" spans="1:15" x14ac:dyDescent="0.3">
      <c r="A872" s="1" t="s">
        <v>1741</v>
      </c>
      <c r="B872" s="1" t="s">
        <v>724</v>
      </c>
      <c r="C872" s="2">
        <v>16698.330000000002</v>
      </c>
      <c r="D872" s="1" t="s">
        <v>24</v>
      </c>
      <c r="E872" s="1" t="s">
        <v>25</v>
      </c>
      <c r="F872" s="1" t="s">
        <v>30</v>
      </c>
      <c r="G872" s="1" t="s">
        <v>46</v>
      </c>
      <c r="H872" s="1">
        <v>629</v>
      </c>
      <c r="I872" s="1">
        <v>0</v>
      </c>
      <c r="J872" s="1">
        <v>3</v>
      </c>
      <c r="K872" s="2">
        <v>887.41</v>
      </c>
      <c r="L872" s="1">
        <v>0</v>
      </c>
      <c r="M872" s="1">
        <v>0.13400000000000001</v>
      </c>
      <c r="N872" s="1">
        <v>8</v>
      </c>
      <c r="O872" s="4" t="s">
        <v>1936</v>
      </c>
    </row>
    <row r="873" spans="1:15" x14ac:dyDescent="0.3">
      <c r="A873" s="1" t="s">
        <v>1742</v>
      </c>
      <c r="B873" s="1" t="s">
        <v>1743</v>
      </c>
      <c r="C873" s="2">
        <v>35479.339999999997</v>
      </c>
      <c r="D873" s="1" t="s">
        <v>24</v>
      </c>
      <c r="E873" s="1" t="s">
        <v>39</v>
      </c>
      <c r="F873" s="1" t="s">
        <v>26</v>
      </c>
      <c r="G873" s="1" t="s">
        <v>20</v>
      </c>
      <c r="H873" s="1">
        <v>1128</v>
      </c>
      <c r="I873" s="1">
        <v>15</v>
      </c>
      <c r="J873" s="1">
        <v>2</v>
      </c>
      <c r="K873" s="2">
        <v>13678.48</v>
      </c>
      <c r="L873" s="1">
        <v>0</v>
      </c>
      <c r="M873" s="1">
        <v>0.23200000000000001</v>
      </c>
      <c r="N873" s="1">
        <v>8</v>
      </c>
      <c r="O873" s="4" t="s">
        <v>1936</v>
      </c>
    </row>
    <row r="874" spans="1:15" x14ac:dyDescent="0.3">
      <c r="A874" s="1" t="s">
        <v>1744</v>
      </c>
      <c r="B874" s="1" t="s">
        <v>1745</v>
      </c>
      <c r="C874" s="2">
        <v>28208.67</v>
      </c>
      <c r="D874" s="1" t="s">
        <v>17</v>
      </c>
      <c r="E874" s="1" t="s">
        <v>29</v>
      </c>
      <c r="F874" s="1" t="s">
        <v>26</v>
      </c>
      <c r="G874" s="1" t="s">
        <v>46</v>
      </c>
      <c r="H874" s="1">
        <v>1612</v>
      </c>
      <c r="I874" s="1">
        <v>16</v>
      </c>
      <c r="J874" s="1">
        <v>0</v>
      </c>
      <c r="K874" s="2">
        <v>10153.629999999999</v>
      </c>
      <c r="L874" s="1">
        <v>0</v>
      </c>
      <c r="M874" s="1">
        <v>0.86899999999999999</v>
      </c>
      <c r="N874" s="1">
        <v>5</v>
      </c>
      <c r="O874" s="4" t="s">
        <v>1936</v>
      </c>
    </row>
    <row r="875" spans="1:15" x14ac:dyDescent="0.3">
      <c r="A875" s="1" t="s">
        <v>1746</v>
      </c>
      <c r="B875" s="1" t="s">
        <v>1747</v>
      </c>
      <c r="C875" s="2">
        <v>13523.64</v>
      </c>
      <c r="D875" s="1" t="s">
        <v>51</v>
      </c>
      <c r="E875" s="1" t="s">
        <v>25</v>
      </c>
      <c r="F875" s="1" t="s">
        <v>30</v>
      </c>
      <c r="G875" s="1" t="s">
        <v>20</v>
      </c>
      <c r="H875" s="1">
        <v>1449</v>
      </c>
      <c r="I875" s="1">
        <v>11</v>
      </c>
      <c r="J875" s="1">
        <v>0</v>
      </c>
      <c r="K875" s="2">
        <v>8737.94</v>
      </c>
      <c r="L875" s="1">
        <v>0</v>
      </c>
      <c r="M875" s="1">
        <v>0.307</v>
      </c>
      <c r="N875" s="1">
        <v>9</v>
      </c>
      <c r="O875" s="4" t="s">
        <v>1936</v>
      </c>
    </row>
    <row r="876" spans="1:15" x14ac:dyDescent="0.3">
      <c r="A876" s="1" t="s">
        <v>1748</v>
      </c>
      <c r="B876" s="1" t="s">
        <v>1749</v>
      </c>
      <c r="C876" s="2">
        <v>5726.62</v>
      </c>
      <c r="D876" s="1" t="s">
        <v>17</v>
      </c>
      <c r="E876" s="1" t="s">
        <v>18</v>
      </c>
      <c r="F876" s="1" t="s">
        <v>26</v>
      </c>
      <c r="G876" s="1" t="s">
        <v>56</v>
      </c>
      <c r="H876" s="1">
        <v>780</v>
      </c>
      <c r="I876" s="1">
        <v>0</v>
      </c>
      <c r="J876" s="1">
        <v>3</v>
      </c>
      <c r="K876" s="2">
        <v>4088.4</v>
      </c>
      <c r="L876" s="1">
        <v>0</v>
      </c>
      <c r="M876" s="1">
        <v>0.16300000000000001</v>
      </c>
      <c r="N876" s="1">
        <v>8</v>
      </c>
      <c r="O876" s="4" t="s">
        <v>1936</v>
      </c>
    </row>
    <row r="877" spans="1:15" x14ac:dyDescent="0.3">
      <c r="A877" s="1" t="s">
        <v>1750</v>
      </c>
      <c r="B877" s="1" t="s">
        <v>1751</v>
      </c>
      <c r="C877" s="2">
        <v>245.72</v>
      </c>
      <c r="D877" s="1" t="s">
        <v>51</v>
      </c>
      <c r="E877" s="1" t="s">
        <v>29</v>
      </c>
      <c r="F877" s="1" t="s">
        <v>19</v>
      </c>
      <c r="G877" s="1" t="s">
        <v>46</v>
      </c>
      <c r="H877" s="1">
        <v>676</v>
      </c>
      <c r="I877" s="1">
        <v>22</v>
      </c>
      <c r="J877" s="1">
        <v>3</v>
      </c>
      <c r="K877" s="2">
        <v>16284.59</v>
      </c>
      <c r="L877" s="1">
        <v>0</v>
      </c>
      <c r="M877" s="1">
        <v>0.61499999999999999</v>
      </c>
      <c r="N877" s="1">
        <v>9</v>
      </c>
      <c r="O877" s="4" t="s">
        <v>1936</v>
      </c>
    </row>
    <row r="878" spans="1:15" x14ac:dyDescent="0.3">
      <c r="A878" s="1" t="s">
        <v>1752</v>
      </c>
      <c r="B878" s="1" t="s">
        <v>1753</v>
      </c>
      <c r="C878" s="2">
        <v>7605.65</v>
      </c>
      <c r="D878" s="1" t="s">
        <v>51</v>
      </c>
      <c r="E878" s="1" t="s">
        <v>29</v>
      </c>
      <c r="F878" s="1" t="s">
        <v>26</v>
      </c>
      <c r="G878" s="1" t="s">
        <v>46</v>
      </c>
      <c r="H878" s="1">
        <v>380</v>
      </c>
      <c r="I878" s="1">
        <v>18</v>
      </c>
      <c r="J878" s="1">
        <v>3</v>
      </c>
      <c r="K878" s="2">
        <v>18989.48</v>
      </c>
      <c r="L878" s="1">
        <v>0</v>
      </c>
      <c r="M878" s="1">
        <v>0.42899999999999999</v>
      </c>
      <c r="N878" s="1">
        <v>7</v>
      </c>
      <c r="O878" s="4" t="s">
        <v>1936</v>
      </c>
    </row>
    <row r="879" spans="1:15" x14ac:dyDescent="0.3">
      <c r="A879" s="1" t="s">
        <v>1754</v>
      </c>
      <c r="B879" s="1" t="s">
        <v>1755</v>
      </c>
      <c r="C879" s="2">
        <v>18829.759999999998</v>
      </c>
      <c r="D879" s="1" t="s">
        <v>51</v>
      </c>
      <c r="E879" s="1" t="s">
        <v>25</v>
      </c>
      <c r="F879" s="1" t="s">
        <v>19</v>
      </c>
      <c r="G879" s="1" t="s">
        <v>31</v>
      </c>
      <c r="H879" s="1">
        <v>169</v>
      </c>
      <c r="I879" s="1">
        <v>3</v>
      </c>
      <c r="J879" s="1">
        <v>2</v>
      </c>
      <c r="K879" s="2">
        <v>22122.71</v>
      </c>
      <c r="L879" s="1">
        <v>0</v>
      </c>
      <c r="M879" s="1">
        <v>0.17599999999999999</v>
      </c>
      <c r="N879" s="1">
        <v>5</v>
      </c>
      <c r="O879" s="4" t="s">
        <v>1936</v>
      </c>
    </row>
    <row r="880" spans="1:15" x14ac:dyDescent="0.3">
      <c r="A880" s="1" t="s">
        <v>1756</v>
      </c>
      <c r="B880" s="1" t="s">
        <v>1757</v>
      </c>
      <c r="C880" s="2">
        <v>43802.85</v>
      </c>
      <c r="D880" s="1" t="s">
        <v>51</v>
      </c>
      <c r="E880" s="1" t="s">
        <v>29</v>
      </c>
      <c r="F880" s="1" t="s">
        <v>30</v>
      </c>
      <c r="G880" s="1" t="s">
        <v>56</v>
      </c>
      <c r="H880" s="1">
        <v>983</v>
      </c>
      <c r="I880" s="1">
        <v>16</v>
      </c>
      <c r="J880" s="1">
        <v>4</v>
      </c>
      <c r="K880" s="2">
        <v>24400.93</v>
      </c>
      <c r="L880" s="1">
        <v>0</v>
      </c>
      <c r="M880" s="1">
        <v>0.72599999999999998</v>
      </c>
      <c r="N880" s="1">
        <v>7</v>
      </c>
      <c r="O880" s="4" t="s">
        <v>1936</v>
      </c>
    </row>
    <row r="881" spans="1:15" x14ac:dyDescent="0.3">
      <c r="A881" s="1" t="s">
        <v>1758</v>
      </c>
      <c r="B881" s="1" t="s">
        <v>1759</v>
      </c>
      <c r="C881" s="2">
        <v>25637.42</v>
      </c>
      <c r="D881" s="1" t="s">
        <v>24</v>
      </c>
      <c r="E881" s="1" t="s">
        <v>25</v>
      </c>
      <c r="F881" s="1" t="s">
        <v>30</v>
      </c>
      <c r="G881" s="1" t="s">
        <v>31</v>
      </c>
      <c r="H881" s="1">
        <v>1879</v>
      </c>
      <c r="I881" s="1">
        <v>23</v>
      </c>
      <c r="J881" s="1">
        <v>4</v>
      </c>
      <c r="K881" s="2">
        <v>17529.23</v>
      </c>
      <c r="L881" s="1">
        <v>0</v>
      </c>
      <c r="M881" s="1">
        <v>0.66300000000000003</v>
      </c>
      <c r="N881" s="1">
        <v>7</v>
      </c>
      <c r="O881" s="4" t="s">
        <v>1936</v>
      </c>
    </row>
    <row r="882" spans="1:15" x14ac:dyDescent="0.3">
      <c r="A882" s="1" t="s">
        <v>1760</v>
      </c>
      <c r="B882" s="1" t="s">
        <v>1761</v>
      </c>
      <c r="C882" s="2">
        <v>29009.58</v>
      </c>
      <c r="D882" s="1" t="s">
        <v>24</v>
      </c>
      <c r="E882" s="1" t="s">
        <v>39</v>
      </c>
      <c r="F882" s="1" t="s">
        <v>30</v>
      </c>
      <c r="G882" s="1" t="s">
        <v>31</v>
      </c>
      <c r="H882" s="1">
        <v>1663</v>
      </c>
      <c r="I882" s="1">
        <v>6</v>
      </c>
      <c r="J882" s="1">
        <v>3</v>
      </c>
      <c r="K882" s="2">
        <v>23704.86</v>
      </c>
      <c r="L882" s="1">
        <v>0</v>
      </c>
      <c r="M882" s="1">
        <v>0.96899999999999997</v>
      </c>
      <c r="N882" s="1">
        <v>6</v>
      </c>
      <c r="O882" s="4" t="s">
        <v>1936</v>
      </c>
    </row>
    <row r="883" spans="1:15" x14ac:dyDescent="0.3">
      <c r="A883" s="1" t="s">
        <v>1762</v>
      </c>
      <c r="B883" s="1" t="s">
        <v>1763</v>
      </c>
      <c r="C883" s="2">
        <v>1671.92</v>
      </c>
      <c r="D883" s="1" t="s">
        <v>24</v>
      </c>
      <c r="E883" s="1" t="s">
        <v>39</v>
      </c>
      <c r="F883" s="1" t="s">
        <v>19</v>
      </c>
      <c r="G883" s="1" t="s">
        <v>36</v>
      </c>
      <c r="H883" s="1">
        <v>338</v>
      </c>
      <c r="I883" s="1">
        <v>1</v>
      </c>
      <c r="J883" s="1">
        <v>2</v>
      </c>
      <c r="K883" s="2">
        <v>11910.36</v>
      </c>
      <c r="L883" s="1">
        <v>0</v>
      </c>
      <c r="M883" s="1">
        <v>0.58099999999999996</v>
      </c>
      <c r="N883" s="1">
        <v>2</v>
      </c>
      <c r="O883" s="4" t="s">
        <v>1936</v>
      </c>
    </row>
    <row r="884" spans="1:15" x14ac:dyDescent="0.3">
      <c r="A884" s="1" t="s">
        <v>1764</v>
      </c>
      <c r="B884" s="1" t="s">
        <v>1765</v>
      </c>
      <c r="C884" s="2">
        <v>17567.95</v>
      </c>
      <c r="D884" s="1" t="s">
        <v>51</v>
      </c>
      <c r="E884" s="1" t="s">
        <v>29</v>
      </c>
      <c r="F884" s="1" t="s">
        <v>19</v>
      </c>
      <c r="G884" s="1" t="s">
        <v>36</v>
      </c>
      <c r="H884" s="1">
        <v>719</v>
      </c>
      <c r="I884" s="1">
        <v>12</v>
      </c>
      <c r="J884" s="1">
        <v>0</v>
      </c>
      <c r="K884" s="2">
        <v>28483.45</v>
      </c>
      <c r="L884" s="1">
        <v>0</v>
      </c>
      <c r="M884" s="1">
        <v>0.98199999999999998</v>
      </c>
      <c r="N884" s="1">
        <v>4</v>
      </c>
      <c r="O884" s="4" t="s">
        <v>1936</v>
      </c>
    </row>
    <row r="885" spans="1:15" x14ac:dyDescent="0.3">
      <c r="A885" s="1" t="s">
        <v>1766</v>
      </c>
      <c r="B885" s="1" t="s">
        <v>1767</v>
      </c>
      <c r="C885" s="2">
        <v>38653.360000000001</v>
      </c>
      <c r="D885" s="1" t="s">
        <v>24</v>
      </c>
      <c r="E885" s="1" t="s">
        <v>25</v>
      </c>
      <c r="F885" s="1" t="s">
        <v>19</v>
      </c>
      <c r="G885" s="1" t="s">
        <v>20</v>
      </c>
      <c r="H885" s="1">
        <v>369</v>
      </c>
      <c r="I885" s="1">
        <v>3</v>
      </c>
      <c r="J885" s="1">
        <v>3</v>
      </c>
      <c r="K885" s="2">
        <v>2185.06</v>
      </c>
      <c r="L885" s="1">
        <v>1</v>
      </c>
      <c r="M885" s="1">
        <v>0.41199999999999998</v>
      </c>
      <c r="N885" s="1">
        <v>4</v>
      </c>
      <c r="O885" s="4" t="s">
        <v>1936</v>
      </c>
    </row>
    <row r="886" spans="1:15" x14ac:dyDescent="0.3">
      <c r="A886" s="1" t="s">
        <v>1768</v>
      </c>
      <c r="B886" s="1" t="s">
        <v>1769</v>
      </c>
      <c r="C886" s="2">
        <v>28949.27</v>
      </c>
      <c r="D886" s="1" t="s">
        <v>17</v>
      </c>
      <c r="E886" s="1" t="s">
        <v>39</v>
      </c>
      <c r="F886" s="1" t="s">
        <v>30</v>
      </c>
      <c r="G886" s="1" t="s">
        <v>20</v>
      </c>
      <c r="H886" s="1">
        <v>1341</v>
      </c>
      <c r="I886" s="1">
        <v>7</v>
      </c>
      <c r="J886" s="1">
        <v>3</v>
      </c>
      <c r="K886" s="2">
        <v>22011.11</v>
      </c>
      <c r="L886" s="1">
        <v>0</v>
      </c>
      <c r="M886" s="1">
        <v>0.624</v>
      </c>
      <c r="N886" s="1">
        <v>1</v>
      </c>
      <c r="O886" s="4" t="s">
        <v>1936</v>
      </c>
    </row>
    <row r="887" spans="1:15" x14ac:dyDescent="0.3">
      <c r="A887" s="1" t="s">
        <v>1770</v>
      </c>
      <c r="B887" s="1" t="s">
        <v>1771</v>
      </c>
      <c r="C887" s="2">
        <v>8766.2000000000007</v>
      </c>
      <c r="D887" s="1" t="s">
        <v>51</v>
      </c>
      <c r="E887" s="1" t="s">
        <v>18</v>
      </c>
      <c r="F887" s="1" t="s">
        <v>30</v>
      </c>
      <c r="G887" s="1" t="s">
        <v>46</v>
      </c>
      <c r="H887" s="1">
        <v>1120</v>
      </c>
      <c r="I887" s="1">
        <v>11</v>
      </c>
      <c r="J887" s="1">
        <v>4</v>
      </c>
      <c r="K887" s="2">
        <v>2848.31</v>
      </c>
      <c r="L887" s="1">
        <v>0</v>
      </c>
      <c r="M887" s="1">
        <v>0.26100000000000001</v>
      </c>
      <c r="N887" s="1">
        <v>1</v>
      </c>
      <c r="O887" s="4" t="s">
        <v>1936</v>
      </c>
    </row>
    <row r="888" spans="1:15" x14ac:dyDescent="0.3">
      <c r="A888" s="1" t="s">
        <v>1772</v>
      </c>
      <c r="B888" s="1" t="s">
        <v>416</v>
      </c>
      <c r="C888" s="2">
        <v>36019.56</v>
      </c>
      <c r="D888" s="1" t="s">
        <v>51</v>
      </c>
      <c r="E888" s="1" t="s">
        <v>18</v>
      </c>
      <c r="F888" s="1" t="s">
        <v>19</v>
      </c>
      <c r="G888" s="1" t="s">
        <v>46</v>
      </c>
      <c r="H888" s="1">
        <v>1996</v>
      </c>
      <c r="I888" s="1">
        <v>5</v>
      </c>
      <c r="J888" s="1">
        <v>1</v>
      </c>
      <c r="K888" s="2">
        <v>584.54</v>
      </c>
      <c r="L888" s="1">
        <v>0</v>
      </c>
      <c r="M888" s="1">
        <v>0.1</v>
      </c>
      <c r="N888" s="1">
        <v>4</v>
      </c>
      <c r="O888" s="4" t="s">
        <v>1936</v>
      </c>
    </row>
    <row r="889" spans="1:15" x14ac:dyDescent="0.3">
      <c r="A889" s="1" t="s">
        <v>1773</v>
      </c>
      <c r="B889" s="1" t="s">
        <v>1774</v>
      </c>
      <c r="C889" s="2">
        <v>42134.78</v>
      </c>
      <c r="D889" s="1" t="s">
        <v>24</v>
      </c>
      <c r="E889" s="1" t="s">
        <v>39</v>
      </c>
      <c r="F889" s="1" t="s">
        <v>26</v>
      </c>
      <c r="G889" s="1" t="s">
        <v>56</v>
      </c>
      <c r="H889" s="1">
        <v>454</v>
      </c>
      <c r="I889" s="1">
        <v>21</v>
      </c>
      <c r="J889" s="1">
        <v>4</v>
      </c>
      <c r="K889" s="2">
        <v>21357.24</v>
      </c>
      <c r="L889" s="1">
        <v>0</v>
      </c>
      <c r="M889" s="1">
        <v>0.17699999999999999</v>
      </c>
      <c r="N889" s="1">
        <v>5</v>
      </c>
      <c r="O889" s="4" t="s">
        <v>1936</v>
      </c>
    </row>
    <row r="890" spans="1:15" x14ac:dyDescent="0.3">
      <c r="A890" s="1" t="s">
        <v>1775</v>
      </c>
      <c r="B890" s="1" t="s">
        <v>1776</v>
      </c>
      <c r="C890" s="2">
        <v>27493.119999999999</v>
      </c>
      <c r="D890" s="1" t="s">
        <v>24</v>
      </c>
      <c r="E890" s="1" t="s">
        <v>39</v>
      </c>
      <c r="F890" s="1" t="s">
        <v>26</v>
      </c>
      <c r="G890" s="1" t="s">
        <v>31</v>
      </c>
      <c r="H890" s="1">
        <v>1056</v>
      </c>
      <c r="I890" s="1">
        <v>1</v>
      </c>
      <c r="J890" s="1">
        <v>2</v>
      </c>
      <c r="K890" s="2">
        <v>2141.5100000000002</v>
      </c>
      <c r="L890" s="1">
        <v>0</v>
      </c>
      <c r="M890" s="1">
        <v>0.31</v>
      </c>
      <c r="N890" s="1">
        <v>5</v>
      </c>
      <c r="O890" s="4" t="s">
        <v>1936</v>
      </c>
    </row>
    <row r="891" spans="1:15" x14ac:dyDescent="0.3">
      <c r="A891" s="1" t="s">
        <v>1777</v>
      </c>
      <c r="B891" s="1" t="s">
        <v>1778</v>
      </c>
      <c r="C891" s="2">
        <v>36190.550000000003</v>
      </c>
      <c r="D891" s="1" t="s">
        <v>51</v>
      </c>
      <c r="E891" s="1" t="s">
        <v>18</v>
      </c>
      <c r="F891" s="1" t="s">
        <v>26</v>
      </c>
      <c r="G891" s="1" t="s">
        <v>36</v>
      </c>
      <c r="H891" s="1">
        <v>189</v>
      </c>
      <c r="I891" s="1">
        <v>20</v>
      </c>
      <c r="J891" s="1">
        <v>4</v>
      </c>
      <c r="K891" s="2">
        <v>617.22</v>
      </c>
      <c r="L891" s="1">
        <v>0</v>
      </c>
      <c r="M891" s="1">
        <v>0.16800000000000001</v>
      </c>
      <c r="N891" s="1">
        <v>2</v>
      </c>
      <c r="O891" s="4" t="s">
        <v>1936</v>
      </c>
    </row>
    <row r="892" spans="1:15" x14ac:dyDescent="0.3">
      <c r="A892" s="1" t="s">
        <v>1779</v>
      </c>
      <c r="B892" s="1" t="s">
        <v>996</v>
      </c>
      <c r="C892" s="2">
        <v>23062.57</v>
      </c>
      <c r="D892" s="1" t="s">
        <v>17</v>
      </c>
      <c r="E892" s="1" t="s">
        <v>29</v>
      </c>
      <c r="F892" s="1" t="s">
        <v>26</v>
      </c>
      <c r="G892" s="1" t="s">
        <v>20</v>
      </c>
      <c r="H892" s="1">
        <v>713</v>
      </c>
      <c r="I892" s="1">
        <v>10</v>
      </c>
      <c r="J892" s="1">
        <v>1</v>
      </c>
      <c r="K892" s="2">
        <v>29648.73</v>
      </c>
      <c r="L892" s="1">
        <v>0</v>
      </c>
      <c r="M892" s="1">
        <v>0.93600000000000005</v>
      </c>
      <c r="N892" s="1">
        <v>8</v>
      </c>
      <c r="O892" s="4" t="s">
        <v>1936</v>
      </c>
    </row>
    <row r="893" spans="1:15" x14ac:dyDescent="0.3">
      <c r="A893" s="1" t="s">
        <v>1780</v>
      </c>
      <c r="B893" s="1" t="s">
        <v>1781</v>
      </c>
      <c r="C893" s="2">
        <v>29833.119999999999</v>
      </c>
      <c r="D893" s="1" t="s">
        <v>24</v>
      </c>
      <c r="E893" s="1" t="s">
        <v>39</v>
      </c>
      <c r="F893" s="1" t="s">
        <v>26</v>
      </c>
      <c r="G893" s="1" t="s">
        <v>46</v>
      </c>
      <c r="H893" s="1">
        <v>461</v>
      </c>
      <c r="I893" s="1">
        <v>16</v>
      </c>
      <c r="J893" s="1">
        <v>4</v>
      </c>
      <c r="K893" s="2">
        <v>29406.54</v>
      </c>
      <c r="L893" s="1">
        <v>1</v>
      </c>
      <c r="M893" s="1">
        <v>0.86699999999999999</v>
      </c>
      <c r="N893" s="1">
        <v>9</v>
      </c>
      <c r="O893" s="4" t="s">
        <v>1936</v>
      </c>
    </row>
    <row r="894" spans="1:15" x14ac:dyDescent="0.3">
      <c r="A894" s="1" t="s">
        <v>1782</v>
      </c>
      <c r="B894" s="1" t="s">
        <v>1783</v>
      </c>
      <c r="C894" s="2">
        <v>8255.31</v>
      </c>
      <c r="D894" s="1" t="s">
        <v>17</v>
      </c>
      <c r="E894" s="1" t="s">
        <v>18</v>
      </c>
      <c r="F894" s="1" t="s">
        <v>19</v>
      </c>
      <c r="G894" s="1" t="s">
        <v>56</v>
      </c>
      <c r="H894" s="1">
        <v>1474</v>
      </c>
      <c r="I894" s="1">
        <v>15</v>
      </c>
      <c r="J894" s="1">
        <v>2</v>
      </c>
      <c r="K894" s="2">
        <v>7130.34</v>
      </c>
      <c r="L894" s="1">
        <v>1</v>
      </c>
      <c r="M894" s="1">
        <v>0.97</v>
      </c>
      <c r="N894" s="1">
        <v>5</v>
      </c>
      <c r="O894" s="4" t="s">
        <v>1936</v>
      </c>
    </row>
    <row r="895" spans="1:15" x14ac:dyDescent="0.3">
      <c r="A895" s="1" t="s">
        <v>1784</v>
      </c>
      <c r="B895" s="1" t="s">
        <v>1785</v>
      </c>
      <c r="C895" s="2">
        <v>37520.53</v>
      </c>
      <c r="D895" s="1" t="s">
        <v>51</v>
      </c>
      <c r="E895" s="1" t="s">
        <v>29</v>
      </c>
      <c r="F895" s="1" t="s">
        <v>30</v>
      </c>
      <c r="G895" s="1" t="s">
        <v>56</v>
      </c>
      <c r="H895" s="1">
        <v>1715</v>
      </c>
      <c r="I895" s="1">
        <v>19</v>
      </c>
      <c r="J895" s="1">
        <v>0</v>
      </c>
      <c r="K895" s="2">
        <v>24553.32</v>
      </c>
      <c r="L895" s="1">
        <v>0</v>
      </c>
      <c r="M895" s="1">
        <v>0.89700000000000002</v>
      </c>
      <c r="N895" s="1">
        <v>3</v>
      </c>
      <c r="O895" s="4" t="s">
        <v>1936</v>
      </c>
    </row>
    <row r="896" spans="1:15" x14ac:dyDescent="0.3">
      <c r="A896" s="1" t="s">
        <v>1786</v>
      </c>
      <c r="B896" s="1" t="s">
        <v>1787</v>
      </c>
      <c r="C896" s="2">
        <v>19832.919999999998</v>
      </c>
      <c r="D896" s="1" t="s">
        <v>51</v>
      </c>
      <c r="E896" s="1" t="s">
        <v>18</v>
      </c>
      <c r="F896" s="1" t="s">
        <v>26</v>
      </c>
      <c r="G896" s="1" t="s">
        <v>36</v>
      </c>
      <c r="H896" s="1">
        <v>181</v>
      </c>
      <c r="I896" s="1">
        <v>1</v>
      </c>
      <c r="J896" s="1">
        <v>4</v>
      </c>
      <c r="K896" s="2">
        <v>14106.53</v>
      </c>
      <c r="L896" s="1">
        <v>0</v>
      </c>
      <c r="M896" s="1">
        <v>0.97399999999999998</v>
      </c>
      <c r="N896" s="1">
        <v>8</v>
      </c>
      <c r="O896" s="4" t="s">
        <v>1936</v>
      </c>
    </row>
    <row r="897" spans="1:15" x14ac:dyDescent="0.3">
      <c r="A897" s="1" t="s">
        <v>1788</v>
      </c>
      <c r="B897" s="1" t="s">
        <v>1789</v>
      </c>
      <c r="C897" s="2">
        <v>47380.88</v>
      </c>
      <c r="D897" s="1" t="s">
        <v>51</v>
      </c>
      <c r="E897" s="1" t="s">
        <v>29</v>
      </c>
      <c r="F897" s="1" t="s">
        <v>30</v>
      </c>
      <c r="G897" s="1" t="s">
        <v>46</v>
      </c>
      <c r="H897" s="1">
        <v>441</v>
      </c>
      <c r="I897" s="1">
        <v>4</v>
      </c>
      <c r="J897" s="1">
        <v>1</v>
      </c>
      <c r="K897" s="2">
        <v>6638.97</v>
      </c>
      <c r="L897" s="1">
        <v>0</v>
      </c>
      <c r="M897" s="1">
        <v>0.40200000000000002</v>
      </c>
      <c r="N897" s="1">
        <v>4</v>
      </c>
      <c r="O897" s="4" t="s">
        <v>1936</v>
      </c>
    </row>
    <row r="898" spans="1:15" x14ac:dyDescent="0.3">
      <c r="A898" s="1" t="s">
        <v>1790</v>
      </c>
      <c r="B898" s="1" t="s">
        <v>1791</v>
      </c>
      <c r="C898" s="2">
        <v>44087.69</v>
      </c>
      <c r="D898" s="1" t="s">
        <v>17</v>
      </c>
      <c r="E898" s="1" t="s">
        <v>25</v>
      </c>
      <c r="F898" s="1" t="s">
        <v>19</v>
      </c>
      <c r="G898" s="1" t="s">
        <v>20</v>
      </c>
      <c r="H898" s="1">
        <v>65</v>
      </c>
      <c r="I898" s="1">
        <v>21</v>
      </c>
      <c r="J898" s="1">
        <v>3</v>
      </c>
      <c r="K898" s="2">
        <v>7439.47</v>
      </c>
      <c r="L898" s="1">
        <v>1</v>
      </c>
      <c r="M898" s="1">
        <v>0.42399999999999999</v>
      </c>
      <c r="N898" s="1">
        <v>3</v>
      </c>
      <c r="O898" s="4" t="s">
        <v>1936</v>
      </c>
    </row>
    <row r="899" spans="1:15" x14ac:dyDescent="0.3">
      <c r="A899" s="1" t="s">
        <v>1792</v>
      </c>
      <c r="B899" s="1" t="s">
        <v>1793</v>
      </c>
      <c r="C899" s="2">
        <v>2815.22</v>
      </c>
      <c r="D899" s="1" t="s">
        <v>51</v>
      </c>
      <c r="E899" s="1" t="s">
        <v>29</v>
      </c>
      <c r="F899" s="1" t="s">
        <v>19</v>
      </c>
      <c r="G899" s="1" t="s">
        <v>20</v>
      </c>
      <c r="H899" s="1">
        <v>27</v>
      </c>
      <c r="I899" s="1">
        <v>6</v>
      </c>
      <c r="J899" s="1">
        <v>2</v>
      </c>
      <c r="K899" s="2">
        <v>8438.57</v>
      </c>
      <c r="L899" s="1">
        <v>0</v>
      </c>
      <c r="M899" s="1">
        <v>0.61799999999999999</v>
      </c>
      <c r="N899" s="1">
        <v>4</v>
      </c>
      <c r="O899" s="4" t="s">
        <v>1936</v>
      </c>
    </row>
    <row r="900" spans="1:15" x14ac:dyDescent="0.3">
      <c r="A900" s="1" t="s">
        <v>1794</v>
      </c>
      <c r="B900" s="1" t="s">
        <v>1795</v>
      </c>
      <c r="C900" s="2">
        <v>46704.95</v>
      </c>
      <c r="D900" s="1" t="s">
        <v>17</v>
      </c>
      <c r="E900" s="1" t="s">
        <v>29</v>
      </c>
      <c r="F900" s="1" t="s">
        <v>30</v>
      </c>
      <c r="G900" s="1" t="s">
        <v>31</v>
      </c>
      <c r="H900" s="1">
        <v>1745</v>
      </c>
      <c r="I900" s="1">
        <v>5</v>
      </c>
      <c r="J900" s="1">
        <v>1</v>
      </c>
      <c r="K900" s="2">
        <v>27882.65</v>
      </c>
      <c r="L900" s="1">
        <v>0</v>
      </c>
      <c r="M900" s="1">
        <v>4.4999999999999998E-2</v>
      </c>
      <c r="N900" s="1">
        <v>4</v>
      </c>
      <c r="O900" s="4" t="s">
        <v>1936</v>
      </c>
    </row>
    <row r="901" spans="1:15" x14ac:dyDescent="0.3">
      <c r="A901" s="1" t="s">
        <v>1796</v>
      </c>
      <c r="B901" s="1" t="s">
        <v>1797</v>
      </c>
      <c r="C901" s="2">
        <v>31147.64</v>
      </c>
      <c r="D901" s="1" t="s">
        <v>17</v>
      </c>
      <c r="E901" s="1" t="s">
        <v>39</v>
      </c>
      <c r="F901" s="1" t="s">
        <v>26</v>
      </c>
      <c r="G901" s="1" t="s">
        <v>31</v>
      </c>
      <c r="H901" s="1">
        <v>291</v>
      </c>
      <c r="I901" s="1">
        <v>14</v>
      </c>
      <c r="J901" s="1">
        <v>3</v>
      </c>
      <c r="K901" s="2">
        <v>27345.68</v>
      </c>
      <c r="L901" s="1">
        <v>0</v>
      </c>
      <c r="M901" s="1">
        <v>0.41399999999999998</v>
      </c>
      <c r="N901" s="1">
        <v>6</v>
      </c>
      <c r="O901" s="4" t="s">
        <v>1936</v>
      </c>
    </row>
    <row r="902" spans="1:15" x14ac:dyDescent="0.3">
      <c r="A902" s="1" t="s">
        <v>1798</v>
      </c>
      <c r="B902" s="1" t="s">
        <v>1799</v>
      </c>
      <c r="C902" s="2">
        <v>11683.45</v>
      </c>
      <c r="D902" s="1" t="s">
        <v>17</v>
      </c>
      <c r="E902" s="1" t="s">
        <v>39</v>
      </c>
      <c r="F902" s="1" t="s">
        <v>19</v>
      </c>
      <c r="G902" s="1" t="s">
        <v>31</v>
      </c>
      <c r="H902" s="1">
        <v>1843</v>
      </c>
      <c r="I902" s="1">
        <v>10</v>
      </c>
      <c r="J902" s="1">
        <v>3</v>
      </c>
      <c r="K902" s="2">
        <v>6090.84</v>
      </c>
      <c r="L902" s="1">
        <v>0</v>
      </c>
      <c r="M902" s="1">
        <v>2E-3</v>
      </c>
      <c r="N902" s="1">
        <v>8</v>
      </c>
      <c r="O902" s="4" t="s">
        <v>1936</v>
      </c>
    </row>
    <row r="903" spans="1:15" x14ac:dyDescent="0.3">
      <c r="A903" s="1" t="s">
        <v>1800</v>
      </c>
      <c r="B903" s="1" t="s">
        <v>1801</v>
      </c>
      <c r="C903" s="2">
        <v>10629.32</v>
      </c>
      <c r="D903" s="1" t="s">
        <v>24</v>
      </c>
      <c r="E903" s="1" t="s">
        <v>29</v>
      </c>
      <c r="F903" s="1" t="s">
        <v>30</v>
      </c>
      <c r="G903" s="1" t="s">
        <v>36</v>
      </c>
      <c r="H903" s="1">
        <v>663</v>
      </c>
      <c r="I903" s="1">
        <v>21</v>
      </c>
      <c r="J903" s="1">
        <v>4</v>
      </c>
      <c r="K903" s="2">
        <v>7888.2</v>
      </c>
      <c r="L903" s="1">
        <v>0</v>
      </c>
      <c r="M903" s="1">
        <v>0.755</v>
      </c>
      <c r="N903" s="1">
        <v>6</v>
      </c>
      <c r="O903" s="4" t="s">
        <v>1936</v>
      </c>
    </row>
    <row r="904" spans="1:15" x14ac:dyDescent="0.3">
      <c r="A904" s="1" t="s">
        <v>1802</v>
      </c>
      <c r="B904" s="1" t="s">
        <v>1803</v>
      </c>
      <c r="C904" s="2">
        <v>504.45</v>
      </c>
      <c r="D904" s="1" t="s">
        <v>24</v>
      </c>
      <c r="E904" s="1" t="s">
        <v>39</v>
      </c>
      <c r="F904" s="1" t="s">
        <v>26</v>
      </c>
      <c r="G904" s="1" t="s">
        <v>20</v>
      </c>
      <c r="H904" s="1">
        <v>494</v>
      </c>
      <c r="I904" s="1">
        <v>16</v>
      </c>
      <c r="J904" s="1">
        <v>3</v>
      </c>
      <c r="K904" s="2">
        <v>18997.53</v>
      </c>
      <c r="L904" s="1">
        <v>0</v>
      </c>
      <c r="M904" s="1">
        <v>0.44400000000000001</v>
      </c>
      <c r="N904" s="1">
        <v>3</v>
      </c>
      <c r="O904" s="4" t="s">
        <v>1936</v>
      </c>
    </row>
    <row r="905" spans="1:15" x14ac:dyDescent="0.3">
      <c r="A905" s="1" t="s">
        <v>1804</v>
      </c>
      <c r="B905" s="1" t="s">
        <v>1805</v>
      </c>
      <c r="C905" s="2">
        <v>44419.199999999997</v>
      </c>
      <c r="D905" s="1" t="s">
        <v>51</v>
      </c>
      <c r="E905" s="1" t="s">
        <v>25</v>
      </c>
      <c r="F905" s="1" t="s">
        <v>26</v>
      </c>
      <c r="G905" s="1" t="s">
        <v>56</v>
      </c>
      <c r="H905" s="1">
        <v>884</v>
      </c>
      <c r="I905" s="1">
        <v>4</v>
      </c>
      <c r="J905" s="1">
        <v>2</v>
      </c>
      <c r="K905" s="2">
        <v>14632.35</v>
      </c>
      <c r="L905" s="1">
        <v>0</v>
      </c>
      <c r="M905" s="1">
        <v>0.32800000000000001</v>
      </c>
      <c r="N905" s="1">
        <v>9</v>
      </c>
      <c r="O905" s="4" t="s">
        <v>1936</v>
      </c>
    </row>
    <row r="906" spans="1:15" x14ac:dyDescent="0.3">
      <c r="A906" s="1" t="s">
        <v>1806</v>
      </c>
      <c r="B906" s="1" t="s">
        <v>1807</v>
      </c>
      <c r="C906" s="2">
        <v>35665.06</v>
      </c>
      <c r="D906" s="1" t="s">
        <v>24</v>
      </c>
      <c r="E906" s="1" t="s">
        <v>29</v>
      </c>
      <c r="F906" s="1" t="s">
        <v>19</v>
      </c>
      <c r="G906" s="1" t="s">
        <v>31</v>
      </c>
      <c r="H906" s="1">
        <v>1486</v>
      </c>
      <c r="I906" s="1">
        <v>5</v>
      </c>
      <c r="J906" s="1">
        <v>1</v>
      </c>
      <c r="K906" s="2">
        <v>17956.97</v>
      </c>
      <c r="L906" s="1">
        <v>0</v>
      </c>
      <c r="M906" s="1">
        <v>0.14399999999999999</v>
      </c>
      <c r="N906" s="1">
        <v>7</v>
      </c>
      <c r="O906" s="4" t="s">
        <v>1936</v>
      </c>
    </row>
    <row r="907" spans="1:15" x14ac:dyDescent="0.3">
      <c r="A907" s="1" t="s">
        <v>1808</v>
      </c>
      <c r="B907" s="1" t="s">
        <v>1809</v>
      </c>
      <c r="C907" s="2">
        <v>47761</v>
      </c>
      <c r="D907" s="1" t="s">
        <v>17</v>
      </c>
      <c r="E907" s="1" t="s">
        <v>25</v>
      </c>
      <c r="F907" s="1" t="s">
        <v>30</v>
      </c>
      <c r="G907" s="1" t="s">
        <v>20</v>
      </c>
      <c r="H907" s="1">
        <v>981</v>
      </c>
      <c r="I907" s="1">
        <v>4</v>
      </c>
      <c r="J907" s="1">
        <v>4</v>
      </c>
      <c r="K907" s="2">
        <v>13266.45</v>
      </c>
      <c r="L907" s="1">
        <v>1</v>
      </c>
      <c r="M907" s="1">
        <v>0.74199999999999999</v>
      </c>
      <c r="N907" s="1">
        <v>6</v>
      </c>
      <c r="O907" s="4" t="s">
        <v>1936</v>
      </c>
    </row>
    <row r="908" spans="1:15" x14ac:dyDescent="0.3">
      <c r="A908" s="1" t="s">
        <v>1810</v>
      </c>
      <c r="B908" s="1" t="s">
        <v>1811</v>
      </c>
      <c r="C908" s="2">
        <v>12045.57</v>
      </c>
      <c r="D908" s="1" t="s">
        <v>17</v>
      </c>
      <c r="E908" s="1" t="s">
        <v>39</v>
      </c>
      <c r="F908" s="1" t="s">
        <v>26</v>
      </c>
      <c r="G908" s="1" t="s">
        <v>20</v>
      </c>
      <c r="H908" s="1">
        <v>1347</v>
      </c>
      <c r="I908" s="1">
        <v>2</v>
      </c>
      <c r="J908" s="1">
        <v>3</v>
      </c>
      <c r="K908" s="2">
        <v>23956.240000000002</v>
      </c>
      <c r="L908" s="1">
        <v>0</v>
      </c>
      <c r="M908" s="1">
        <v>0.38500000000000001</v>
      </c>
      <c r="N908" s="1">
        <v>8</v>
      </c>
      <c r="O908" s="4" t="s">
        <v>1936</v>
      </c>
    </row>
    <row r="909" spans="1:15" x14ac:dyDescent="0.3">
      <c r="A909" s="1" t="s">
        <v>1812</v>
      </c>
      <c r="B909" s="1" t="s">
        <v>1813</v>
      </c>
      <c r="C909" s="2">
        <v>9231.4500000000007</v>
      </c>
      <c r="D909" s="1" t="s">
        <v>51</v>
      </c>
      <c r="E909" s="1" t="s">
        <v>29</v>
      </c>
      <c r="F909" s="1" t="s">
        <v>26</v>
      </c>
      <c r="G909" s="1" t="s">
        <v>36</v>
      </c>
      <c r="H909" s="1">
        <v>1415</v>
      </c>
      <c r="I909" s="1">
        <v>20</v>
      </c>
      <c r="J909" s="1">
        <v>4</v>
      </c>
      <c r="K909" s="2">
        <v>6249.7</v>
      </c>
      <c r="L909" s="1">
        <v>0</v>
      </c>
      <c r="M909" s="1">
        <v>0.95099999999999996</v>
      </c>
      <c r="N909" s="1">
        <v>2</v>
      </c>
      <c r="O909" s="4" t="s">
        <v>1936</v>
      </c>
    </row>
    <row r="910" spans="1:15" x14ac:dyDescent="0.3">
      <c r="A910" s="1" t="s">
        <v>1814</v>
      </c>
      <c r="B910" s="1" t="s">
        <v>1815</v>
      </c>
      <c r="C910" s="2">
        <v>33474.25</v>
      </c>
      <c r="D910" s="1" t="s">
        <v>17</v>
      </c>
      <c r="E910" s="1" t="s">
        <v>39</v>
      </c>
      <c r="F910" s="1" t="s">
        <v>30</v>
      </c>
      <c r="G910" s="1" t="s">
        <v>46</v>
      </c>
      <c r="H910" s="1">
        <v>1239</v>
      </c>
      <c r="I910" s="1">
        <v>12</v>
      </c>
      <c r="J910" s="1">
        <v>2</v>
      </c>
      <c r="K910" s="2">
        <v>3026.52</v>
      </c>
      <c r="L910" s="1">
        <v>0</v>
      </c>
      <c r="M910" s="1">
        <v>0.65500000000000003</v>
      </c>
      <c r="N910" s="1">
        <v>6</v>
      </c>
      <c r="O910" s="4" t="s">
        <v>1936</v>
      </c>
    </row>
    <row r="911" spans="1:15" x14ac:dyDescent="0.3">
      <c r="A911" s="1" t="s">
        <v>1816</v>
      </c>
      <c r="B911" s="1" t="s">
        <v>1817</v>
      </c>
      <c r="C911" s="2">
        <v>20544.669999999998</v>
      </c>
      <c r="D911" s="1" t="s">
        <v>51</v>
      </c>
      <c r="E911" s="1" t="s">
        <v>29</v>
      </c>
      <c r="F911" s="1" t="s">
        <v>19</v>
      </c>
      <c r="G911" s="1" t="s">
        <v>20</v>
      </c>
      <c r="H911" s="1">
        <v>1364</v>
      </c>
      <c r="I911" s="1">
        <v>12</v>
      </c>
      <c r="J911" s="1">
        <v>3</v>
      </c>
      <c r="K911" s="2">
        <v>16045.56</v>
      </c>
      <c r="L911" s="1">
        <v>0</v>
      </c>
      <c r="M911" s="1">
        <v>0.13100000000000001</v>
      </c>
      <c r="N911" s="1">
        <v>1</v>
      </c>
      <c r="O911" s="4" t="s">
        <v>1936</v>
      </c>
    </row>
    <row r="912" spans="1:15" x14ac:dyDescent="0.3">
      <c r="A912" s="1" t="s">
        <v>1818</v>
      </c>
      <c r="B912" s="1" t="s">
        <v>1819</v>
      </c>
      <c r="C912" s="2">
        <v>27064.31</v>
      </c>
      <c r="D912" s="1" t="s">
        <v>17</v>
      </c>
      <c r="E912" s="1" t="s">
        <v>25</v>
      </c>
      <c r="F912" s="1" t="s">
        <v>19</v>
      </c>
      <c r="G912" s="1" t="s">
        <v>36</v>
      </c>
      <c r="H912" s="1">
        <v>1845</v>
      </c>
      <c r="I912" s="1">
        <v>19</v>
      </c>
      <c r="J912" s="1">
        <v>1</v>
      </c>
      <c r="K912" s="2">
        <v>9678.16</v>
      </c>
      <c r="L912" s="1">
        <v>0</v>
      </c>
      <c r="M912" s="1">
        <v>0.71699999999999997</v>
      </c>
      <c r="N912" s="1">
        <v>5</v>
      </c>
      <c r="O912" s="4" t="s">
        <v>1936</v>
      </c>
    </row>
    <row r="913" spans="1:15" x14ac:dyDescent="0.3">
      <c r="A913" s="1" t="s">
        <v>1820</v>
      </c>
      <c r="B913" s="1" t="s">
        <v>1821</v>
      </c>
      <c r="C913" s="2">
        <v>13420.04</v>
      </c>
      <c r="D913" s="1" t="s">
        <v>51</v>
      </c>
      <c r="E913" s="1" t="s">
        <v>18</v>
      </c>
      <c r="F913" s="1" t="s">
        <v>26</v>
      </c>
      <c r="G913" s="1" t="s">
        <v>31</v>
      </c>
      <c r="H913" s="1">
        <v>196</v>
      </c>
      <c r="I913" s="1">
        <v>17</v>
      </c>
      <c r="J913" s="1">
        <v>1</v>
      </c>
      <c r="K913" s="2">
        <v>8112.25</v>
      </c>
      <c r="L913" s="1">
        <v>1</v>
      </c>
      <c r="M913" s="1">
        <v>0.97499999999999998</v>
      </c>
      <c r="N913" s="1">
        <v>8</v>
      </c>
      <c r="O913" s="4" t="s">
        <v>1936</v>
      </c>
    </row>
    <row r="914" spans="1:15" x14ac:dyDescent="0.3">
      <c r="A914" s="1" t="s">
        <v>1822</v>
      </c>
      <c r="B914" s="1" t="s">
        <v>1823</v>
      </c>
      <c r="C914" s="2">
        <v>28635.58</v>
      </c>
      <c r="D914" s="1" t="s">
        <v>17</v>
      </c>
      <c r="E914" s="1" t="s">
        <v>18</v>
      </c>
      <c r="F914" s="1" t="s">
        <v>30</v>
      </c>
      <c r="G914" s="1" t="s">
        <v>31</v>
      </c>
      <c r="H914" s="1">
        <v>155</v>
      </c>
      <c r="I914" s="1">
        <v>6</v>
      </c>
      <c r="J914" s="1">
        <v>1</v>
      </c>
      <c r="K914" s="2">
        <v>26230.47</v>
      </c>
      <c r="L914" s="1">
        <v>0</v>
      </c>
      <c r="M914" s="1">
        <v>0.87</v>
      </c>
      <c r="N914" s="1">
        <v>1</v>
      </c>
      <c r="O914" s="4" t="s">
        <v>1936</v>
      </c>
    </row>
    <row r="915" spans="1:15" x14ac:dyDescent="0.3">
      <c r="A915" s="1" t="s">
        <v>1824</v>
      </c>
      <c r="B915" s="1" t="s">
        <v>1825</v>
      </c>
      <c r="C915" s="2">
        <v>3209.51</v>
      </c>
      <c r="D915" s="1" t="s">
        <v>51</v>
      </c>
      <c r="E915" s="1" t="s">
        <v>39</v>
      </c>
      <c r="F915" s="1" t="s">
        <v>19</v>
      </c>
      <c r="G915" s="1" t="s">
        <v>36</v>
      </c>
      <c r="H915" s="1">
        <v>1435</v>
      </c>
      <c r="I915" s="1">
        <v>19</v>
      </c>
      <c r="J915" s="1">
        <v>3</v>
      </c>
      <c r="K915" s="2">
        <v>7553.01</v>
      </c>
      <c r="L915" s="1">
        <v>0</v>
      </c>
      <c r="M915" s="1">
        <v>0.49199999999999999</v>
      </c>
      <c r="N915" s="1">
        <v>4</v>
      </c>
      <c r="O915" s="4" t="s">
        <v>1936</v>
      </c>
    </row>
    <row r="916" spans="1:15" x14ac:dyDescent="0.3">
      <c r="A916" s="1" t="s">
        <v>1826</v>
      </c>
      <c r="B916" s="1" t="s">
        <v>1827</v>
      </c>
      <c r="C916" s="2">
        <v>33868.04</v>
      </c>
      <c r="D916" s="1" t="s">
        <v>24</v>
      </c>
      <c r="E916" s="1" t="s">
        <v>29</v>
      </c>
      <c r="F916" s="1" t="s">
        <v>19</v>
      </c>
      <c r="G916" s="1" t="s">
        <v>56</v>
      </c>
      <c r="H916" s="1">
        <v>1670</v>
      </c>
      <c r="I916" s="1">
        <v>1</v>
      </c>
      <c r="J916" s="1">
        <v>2</v>
      </c>
      <c r="K916" s="2">
        <v>15309.44</v>
      </c>
      <c r="L916" s="1">
        <v>0</v>
      </c>
      <c r="M916" s="1">
        <v>0.84199999999999997</v>
      </c>
      <c r="N916" s="1">
        <v>7</v>
      </c>
      <c r="O916" s="4" t="s">
        <v>1936</v>
      </c>
    </row>
    <row r="917" spans="1:15" x14ac:dyDescent="0.3">
      <c r="A917" s="1" t="s">
        <v>1828</v>
      </c>
      <c r="B917" s="1" t="s">
        <v>1829</v>
      </c>
      <c r="C917" s="2">
        <v>29823.39</v>
      </c>
      <c r="D917" s="1" t="s">
        <v>51</v>
      </c>
      <c r="E917" s="1" t="s">
        <v>18</v>
      </c>
      <c r="F917" s="1" t="s">
        <v>26</v>
      </c>
      <c r="G917" s="1" t="s">
        <v>20</v>
      </c>
      <c r="H917" s="1">
        <v>12</v>
      </c>
      <c r="I917" s="1">
        <v>10</v>
      </c>
      <c r="J917" s="1">
        <v>0</v>
      </c>
      <c r="K917" s="2">
        <v>14580.35</v>
      </c>
      <c r="L917" s="1">
        <v>1</v>
      </c>
      <c r="M917" s="1">
        <v>0.33100000000000002</v>
      </c>
      <c r="N917" s="1">
        <v>7</v>
      </c>
      <c r="O917" s="4" t="s">
        <v>1936</v>
      </c>
    </row>
    <row r="918" spans="1:15" x14ac:dyDescent="0.3">
      <c r="A918" s="1" t="s">
        <v>1830</v>
      </c>
      <c r="B918" s="1" t="s">
        <v>1831</v>
      </c>
      <c r="C918" s="2">
        <v>40372.720000000001</v>
      </c>
      <c r="D918" s="1" t="s">
        <v>51</v>
      </c>
      <c r="E918" s="1" t="s">
        <v>29</v>
      </c>
      <c r="F918" s="1" t="s">
        <v>19</v>
      </c>
      <c r="G918" s="1" t="s">
        <v>46</v>
      </c>
      <c r="H918" s="1">
        <v>1168</v>
      </c>
      <c r="I918" s="1">
        <v>10</v>
      </c>
      <c r="J918" s="1">
        <v>4</v>
      </c>
      <c r="K918" s="2">
        <v>19845.490000000002</v>
      </c>
      <c r="L918" s="1">
        <v>0</v>
      </c>
      <c r="M918" s="1">
        <v>0.11600000000000001</v>
      </c>
      <c r="N918" s="1">
        <v>7</v>
      </c>
      <c r="O918" s="4" t="s">
        <v>1936</v>
      </c>
    </row>
    <row r="919" spans="1:15" x14ac:dyDescent="0.3">
      <c r="A919" s="1" t="s">
        <v>1832</v>
      </c>
      <c r="B919" s="1" t="s">
        <v>923</v>
      </c>
      <c r="C919" s="2">
        <v>14405.76</v>
      </c>
      <c r="D919" s="1" t="s">
        <v>51</v>
      </c>
      <c r="E919" s="1" t="s">
        <v>39</v>
      </c>
      <c r="F919" s="1" t="s">
        <v>30</v>
      </c>
      <c r="G919" s="1" t="s">
        <v>31</v>
      </c>
      <c r="H919" s="1">
        <v>1526</v>
      </c>
      <c r="I919" s="1">
        <v>23</v>
      </c>
      <c r="J919" s="1">
        <v>2</v>
      </c>
      <c r="K919" s="2">
        <v>17329.39</v>
      </c>
      <c r="L919" s="1">
        <v>0</v>
      </c>
      <c r="M919" s="1">
        <v>0.39</v>
      </c>
      <c r="N919" s="1">
        <v>1</v>
      </c>
      <c r="O919" s="4" t="s">
        <v>1936</v>
      </c>
    </row>
    <row r="920" spans="1:15" x14ac:dyDescent="0.3">
      <c r="A920" s="1" t="s">
        <v>1833</v>
      </c>
      <c r="B920" s="1" t="s">
        <v>1834</v>
      </c>
      <c r="C920" s="2">
        <v>5686.39</v>
      </c>
      <c r="D920" s="1" t="s">
        <v>17</v>
      </c>
      <c r="E920" s="1" t="s">
        <v>39</v>
      </c>
      <c r="F920" s="1" t="s">
        <v>19</v>
      </c>
      <c r="G920" s="1" t="s">
        <v>36</v>
      </c>
      <c r="H920" s="1">
        <v>742</v>
      </c>
      <c r="I920" s="1">
        <v>15</v>
      </c>
      <c r="J920" s="1">
        <v>4</v>
      </c>
      <c r="K920" s="2">
        <v>19854.16</v>
      </c>
      <c r="L920" s="1">
        <v>0</v>
      </c>
      <c r="M920" s="1">
        <v>0.14399999999999999</v>
      </c>
      <c r="N920" s="1">
        <v>2</v>
      </c>
      <c r="O920" s="4" t="s">
        <v>1936</v>
      </c>
    </row>
    <row r="921" spans="1:15" x14ac:dyDescent="0.3">
      <c r="A921" s="1" t="s">
        <v>1835</v>
      </c>
      <c r="B921" s="1" t="s">
        <v>1836</v>
      </c>
      <c r="C921" s="2">
        <v>36852.89</v>
      </c>
      <c r="D921" s="1" t="s">
        <v>51</v>
      </c>
      <c r="E921" s="1" t="s">
        <v>29</v>
      </c>
      <c r="F921" s="1" t="s">
        <v>30</v>
      </c>
      <c r="G921" s="1" t="s">
        <v>46</v>
      </c>
      <c r="H921" s="1">
        <v>552</v>
      </c>
      <c r="I921" s="1">
        <v>4</v>
      </c>
      <c r="J921" s="1">
        <v>1</v>
      </c>
      <c r="K921" s="2">
        <v>7038.78</v>
      </c>
      <c r="L921" s="1">
        <v>0</v>
      </c>
      <c r="M921" s="1">
        <v>7.8E-2</v>
      </c>
      <c r="N921" s="1">
        <v>5</v>
      </c>
      <c r="O921" s="4" t="s">
        <v>1936</v>
      </c>
    </row>
    <row r="922" spans="1:15" x14ac:dyDescent="0.3">
      <c r="A922" s="1" t="s">
        <v>1837</v>
      </c>
      <c r="B922" s="1" t="s">
        <v>1838</v>
      </c>
      <c r="C922" s="2">
        <v>24120.91</v>
      </c>
      <c r="D922" s="1" t="s">
        <v>24</v>
      </c>
      <c r="E922" s="1" t="s">
        <v>18</v>
      </c>
      <c r="F922" s="1" t="s">
        <v>30</v>
      </c>
      <c r="G922" s="1" t="s">
        <v>46</v>
      </c>
      <c r="H922" s="1">
        <v>954</v>
      </c>
      <c r="I922" s="1">
        <v>22</v>
      </c>
      <c r="J922" s="1">
        <v>4</v>
      </c>
      <c r="K922" s="2">
        <v>11138.86</v>
      </c>
      <c r="L922" s="1">
        <v>1</v>
      </c>
      <c r="M922" s="1">
        <v>0.79400000000000004</v>
      </c>
      <c r="N922" s="1">
        <v>3</v>
      </c>
      <c r="O922" s="4" t="s">
        <v>1936</v>
      </c>
    </row>
    <row r="923" spans="1:15" x14ac:dyDescent="0.3">
      <c r="A923" s="1" t="s">
        <v>1839</v>
      </c>
      <c r="B923" s="1" t="s">
        <v>1840</v>
      </c>
      <c r="C923" s="2">
        <v>46939.03</v>
      </c>
      <c r="D923" s="1" t="s">
        <v>51</v>
      </c>
      <c r="E923" s="1" t="s">
        <v>18</v>
      </c>
      <c r="F923" s="1" t="s">
        <v>26</v>
      </c>
      <c r="G923" s="1" t="s">
        <v>20</v>
      </c>
      <c r="H923" s="1">
        <v>411</v>
      </c>
      <c r="I923" s="1">
        <v>7</v>
      </c>
      <c r="J923" s="1">
        <v>4</v>
      </c>
      <c r="K923" s="2">
        <v>26161.19</v>
      </c>
      <c r="L923" s="1">
        <v>1</v>
      </c>
      <c r="M923" s="1">
        <v>0.88200000000000001</v>
      </c>
      <c r="N923" s="1">
        <v>1</v>
      </c>
      <c r="O923" s="4" t="s">
        <v>1936</v>
      </c>
    </row>
    <row r="924" spans="1:15" x14ac:dyDescent="0.3">
      <c r="A924" s="1" t="s">
        <v>1841</v>
      </c>
      <c r="B924" s="1" t="s">
        <v>1842</v>
      </c>
      <c r="C924" s="2">
        <v>21344.6</v>
      </c>
      <c r="D924" s="1" t="s">
        <v>17</v>
      </c>
      <c r="E924" s="1" t="s">
        <v>39</v>
      </c>
      <c r="F924" s="1" t="s">
        <v>26</v>
      </c>
      <c r="G924" s="1" t="s">
        <v>36</v>
      </c>
      <c r="H924" s="1">
        <v>1269</v>
      </c>
      <c r="I924" s="1">
        <v>8</v>
      </c>
      <c r="J924" s="1">
        <v>4</v>
      </c>
      <c r="K924" s="2">
        <v>22927.8</v>
      </c>
      <c r="L924" s="1">
        <v>0</v>
      </c>
      <c r="M924" s="1">
        <v>0.95499999999999996</v>
      </c>
      <c r="N924" s="1">
        <v>9</v>
      </c>
      <c r="O924" s="4" t="s">
        <v>1936</v>
      </c>
    </row>
    <row r="925" spans="1:15" x14ac:dyDescent="0.3">
      <c r="A925" s="1" t="s">
        <v>1843</v>
      </c>
      <c r="B925" s="1" t="s">
        <v>1844</v>
      </c>
      <c r="C925" s="2">
        <v>45930.15</v>
      </c>
      <c r="D925" s="1" t="s">
        <v>51</v>
      </c>
      <c r="E925" s="1" t="s">
        <v>39</v>
      </c>
      <c r="F925" s="1" t="s">
        <v>19</v>
      </c>
      <c r="G925" s="1" t="s">
        <v>56</v>
      </c>
      <c r="H925" s="1">
        <v>1267</v>
      </c>
      <c r="I925" s="1">
        <v>10</v>
      </c>
      <c r="J925" s="1">
        <v>1</v>
      </c>
      <c r="K925" s="2">
        <v>28780.63</v>
      </c>
      <c r="L925" s="1">
        <v>0</v>
      </c>
      <c r="M925" s="1">
        <v>0.67600000000000005</v>
      </c>
      <c r="N925" s="1">
        <v>1</v>
      </c>
      <c r="O925" s="4" t="s">
        <v>1936</v>
      </c>
    </row>
    <row r="926" spans="1:15" x14ac:dyDescent="0.3">
      <c r="A926" s="1" t="s">
        <v>1845</v>
      </c>
      <c r="B926" s="1" t="s">
        <v>1846</v>
      </c>
      <c r="C926" s="2">
        <v>47901.07</v>
      </c>
      <c r="D926" s="1" t="s">
        <v>24</v>
      </c>
      <c r="E926" s="1" t="s">
        <v>29</v>
      </c>
      <c r="F926" s="1" t="s">
        <v>30</v>
      </c>
      <c r="G926" s="1" t="s">
        <v>31</v>
      </c>
      <c r="H926" s="1">
        <v>938</v>
      </c>
      <c r="I926" s="1">
        <v>12</v>
      </c>
      <c r="J926" s="1">
        <v>2</v>
      </c>
      <c r="K926" s="2">
        <v>28313.279999999999</v>
      </c>
      <c r="L926" s="1">
        <v>0</v>
      </c>
      <c r="M926" s="1">
        <v>0.17</v>
      </c>
      <c r="N926" s="1">
        <v>2</v>
      </c>
      <c r="O926" s="4" t="s">
        <v>1936</v>
      </c>
    </row>
    <row r="927" spans="1:15" x14ac:dyDescent="0.3">
      <c r="A927" s="1" t="s">
        <v>1847</v>
      </c>
      <c r="B927" s="1" t="s">
        <v>1513</v>
      </c>
      <c r="C927" s="2">
        <v>4191.58</v>
      </c>
      <c r="D927" s="1" t="s">
        <v>24</v>
      </c>
      <c r="E927" s="1" t="s">
        <v>29</v>
      </c>
      <c r="F927" s="1" t="s">
        <v>19</v>
      </c>
      <c r="G927" s="1" t="s">
        <v>46</v>
      </c>
      <c r="H927" s="1">
        <v>1477</v>
      </c>
      <c r="I927" s="1">
        <v>1</v>
      </c>
      <c r="J927" s="1">
        <v>4</v>
      </c>
      <c r="K927" s="2">
        <v>21337.96</v>
      </c>
      <c r="L927" s="1">
        <v>0</v>
      </c>
      <c r="M927" s="1">
        <v>0.64100000000000001</v>
      </c>
      <c r="N927" s="1">
        <v>1</v>
      </c>
      <c r="O927" s="4" t="s">
        <v>1936</v>
      </c>
    </row>
    <row r="928" spans="1:15" x14ac:dyDescent="0.3">
      <c r="A928" s="1" t="s">
        <v>1848</v>
      </c>
      <c r="B928" s="1" t="s">
        <v>1849</v>
      </c>
      <c r="C928" s="2">
        <v>42803.46</v>
      </c>
      <c r="D928" s="1" t="s">
        <v>17</v>
      </c>
      <c r="E928" s="1" t="s">
        <v>39</v>
      </c>
      <c r="F928" s="1" t="s">
        <v>26</v>
      </c>
      <c r="G928" s="1" t="s">
        <v>31</v>
      </c>
      <c r="H928" s="1">
        <v>773</v>
      </c>
      <c r="I928" s="1">
        <v>17</v>
      </c>
      <c r="J928" s="1">
        <v>3</v>
      </c>
      <c r="K928" s="2">
        <v>29791.98</v>
      </c>
      <c r="L928" s="1">
        <v>1</v>
      </c>
      <c r="M928" s="1">
        <v>0.20399999999999999</v>
      </c>
      <c r="N928" s="1">
        <v>6</v>
      </c>
      <c r="O928" s="4" t="s">
        <v>1936</v>
      </c>
    </row>
    <row r="929" spans="1:15" x14ac:dyDescent="0.3">
      <c r="A929" s="1" t="s">
        <v>1850</v>
      </c>
      <c r="B929" s="1" t="s">
        <v>1851</v>
      </c>
      <c r="C929" s="2">
        <v>10383.25</v>
      </c>
      <c r="D929" s="1" t="s">
        <v>17</v>
      </c>
      <c r="E929" s="1" t="s">
        <v>39</v>
      </c>
      <c r="F929" s="1" t="s">
        <v>30</v>
      </c>
      <c r="G929" s="1" t="s">
        <v>46</v>
      </c>
      <c r="H929" s="1">
        <v>868</v>
      </c>
      <c r="I929" s="1">
        <v>4</v>
      </c>
      <c r="J929" s="1">
        <v>4</v>
      </c>
      <c r="K929" s="2">
        <v>2648.21</v>
      </c>
      <c r="L929" s="1">
        <v>0</v>
      </c>
      <c r="M929" s="1">
        <v>4.1000000000000002E-2</v>
      </c>
      <c r="N929" s="1">
        <v>1</v>
      </c>
      <c r="O929" s="4" t="s">
        <v>1936</v>
      </c>
    </row>
    <row r="930" spans="1:15" x14ac:dyDescent="0.3">
      <c r="A930" s="1" t="s">
        <v>1852</v>
      </c>
      <c r="B930" s="1" t="s">
        <v>1853</v>
      </c>
      <c r="C930" s="2">
        <v>20832.73</v>
      </c>
      <c r="D930" s="1" t="s">
        <v>24</v>
      </c>
      <c r="E930" s="1" t="s">
        <v>18</v>
      </c>
      <c r="F930" s="1" t="s">
        <v>26</v>
      </c>
      <c r="G930" s="1" t="s">
        <v>31</v>
      </c>
      <c r="H930" s="1">
        <v>1532</v>
      </c>
      <c r="I930" s="1">
        <v>2</v>
      </c>
      <c r="J930" s="1">
        <v>3</v>
      </c>
      <c r="K930" s="2">
        <v>1496</v>
      </c>
      <c r="L930" s="1">
        <v>0</v>
      </c>
      <c r="M930" s="1">
        <v>0.92400000000000004</v>
      </c>
      <c r="N930" s="1">
        <v>3</v>
      </c>
      <c r="O930" s="4" t="s">
        <v>1936</v>
      </c>
    </row>
    <row r="931" spans="1:15" x14ac:dyDescent="0.3">
      <c r="A931" s="1" t="s">
        <v>1854</v>
      </c>
      <c r="B931" s="1" t="s">
        <v>1855</v>
      </c>
      <c r="C931" s="2">
        <v>10807.2</v>
      </c>
      <c r="D931" s="1" t="s">
        <v>17</v>
      </c>
      <c r="E931" s="1" t="s">
        <v>18</v>
      </c>
      <c r="F931" s="1" t="s">
        <v>30</v>
      </c>
      <c r="G931" s="1" t="s">
        <v>20</v>
      </c>
      <c r="H931" s="1">
        <v>1593</v>
      </c>
      <c r="I931" s="1">
        <v>0</v>
      </c>
      <c r="J931" s="1">
        <v>3</v>
      </c>
      <c r="K931" s="2">
        <v>23266.05</v>
      </c>
      <c r="L931" s="1">
        <v>0</v>
      </c>
      <c r="M931" s="1">
        <v>0.48</v>
      </c>
      <c r="N931" s="1">
        <v>4</v>
      </c>
      <c r="O931" s="4" t="s">
        <v>1936</v>
      </c>
    </row>
    <row r="932" spans="1:15" x14ac:dyDescent="0.3">
      <c r="A932" s="1" t="s">
        <v>1856</v>
      </c>
      <c r="B932" s="1" t="s">
        <v>1857</v>
      </c>
      <c r="C932" s="2">
        <v>32475.24</v>
      </c>
      <c r="D932" s="1" t="s">
        <v>24</v>
      </c>
      <c r="E932" s="1" t="s">
        <v>25</v>
      </c>
      <c r="F932" s="1" t="s">
        <v>26</v>
      </c>
      <c r="G932" s="1" t="s">
        <v>20</v>
      </c>
      <c r="H932" s="1">
        <v>465</v>
      </c>
      <c r="I932" s="1">
        <v>20</v>
      </c>
      <c r="J932" s="1">
        <v>4</v>
      </c>
      <c r="K932" s="2">
        <v>21024.7</v>
      </c>
      <c r="L932" s="1">
        <v>0</v>
      </c>
      <c r="M932" s="1">
        <v>0.81699999999999995</v>
      </c>
      <c r="N932" s="1">
        <v>1</v>
      </c>
      <c r="O932" s="4" t="s">
        <v>1936</v>
      </c>
    </row>
    <row r="933" spans="1:15" x14ac:dyDescent="0.3">
      <c r="A933" s="1" t="s">
        <v>1858</v>
      </c>
      <c r="B933" s="1" t="s">
        <v>1859</v>
      </c>
      <c r="C933" s="2">
        <v>11472.1</v>
      </c>
      <c r="D933" s="1" t="s">
        <v>51</v>
      </c>
      <c r="E933" s="1" t="s">
        <v>25</v>
      </c>
      <c r="F933" s="1" t="s">
        <v>26</v>
      </c>
      <c r="G933" s="1" t="s">
        <v>46</v>
      </c>
      <c r="H933" s="1">
        <v>912</v>
      </c>
      <c r="I933" s="1">
        <v>22</v>
      </c>
      <c r="J933" s="1">
        <v>3</v>
      </c>
      <c r="K933" s="2">
        <v>9159.49</v>
      </c>
      <c r="L933" s="1">
        <v>0</v>
      </c>
      <c r="M933" s="1">
        <v>0.98099999999999998</v>
      </c>
      <c r="N933" s="1">
        <v>2</v>
      </c>
      <c r="O933" s="4" t="s">
        <v>1936</v>
      </c>
    </row>
    <row r="934" spans="1:15" x14ac:dyDescent="0.3">
      <c r="A934" s="1" t="s">
        <v>1860</v>
      </c>
      <c r="B934" s="1" t="s">
        <v>1861</v>
      </c>
      <c r="C934" s="2">
        <v>47687.5</v>
      </c>
      <c r="D934" s="1" t="s">
        <v>17</v>
      </c>
      <c r="E934" s="1" t="s">
        <v>29</v>
      </c>
      <c r="F934" s="1" t="s">
        <v>26</v>
      </c>
      <c r="G934" s="1" t="s">
        <v>20</v>
      </c>
      <c r="H934" s="1">
        <v>1613</v>
      </c>
      <c r="I934" s="1">
        <v>20</v>
      </c>
      <c r="J934" s="1">
        <v>2</v>
      </c>
      <c r="K934" s="2">
        <v>18043.52</v>
      </c>
      <c r="L934" s="1">
        <v>0</v>
      </c>
      <c r="M934" s="1">
        <v>0.27600000000000002</v>
      </c>
      <c r="N934" s="1">
        <v>4</v>
      </c>
      <c r="O934" s="4" t="s">
        <v>1936</v>
      </c>
    </row>
    <row r="935" spans="1:15" x14ac:dyDescent="0.3">
      <c r="A935" s="1" t="s">
        <v>1862</v>
      </c>
      <c r="B935" s="1" t="s">
        <v>1863</v>
      </c>
      <c r="C935" s="2">
        <v>33040.46</v>
      </c>
      <c r="D935" s="1" t="s">
        <v>17</v>
      </c>
      <c r="E935" s="1" t="s">
        <v>18</v>
      </c>
      <c r="F935" s="1" t="s">
        <v>26</v>
      </c>
      <c r="G935" s="1" t="s">
        <v>46</v>
      </c>
      <c r="H935" s="1">
        <v>1442</v>
      </c>
      <c r="I935" s="1">
        <v>3</v>
      </c>
      <c r="J935" s="1">
        <v>2</v>
      </c>
      <c r="K935" s="2">
        <v>13545.32</v>
      </c>
      <c r="L935" s="1">
        <v>0</v>
      </c>
      <c r="M935" s="1">
        <v>0.91500000000000004</v>
      </c>
      <c r="N935" s="1">
        <v>5</v>
      </c>
      <c r="O935" s="4" t="s">
        <v>1936</v>
      </c>
    </row>
    <row r="936" spans="1:15" x14ac:dyDescent="0.3">
      <c r="A936" s="1" t="s">
        <v>1864</v>
      </c>
      <c r="B936" s="1" t="s">
        <v>1865</v>
      </c>
      <c r="C936" s="2">
        <v>41404.85</v>
      </c>
      <c r="D936" s="1" t="s">
        <v>51</v>
      </c>
      <c r="E936" s="1" t="s">
        <v>18</v>
      </c>
      <c r="F936" s="1" t="s">
        <v>26</v>
      </c>
      <c r="G936" s="1" t="s">
        <v>20</v>
      </c>
      <c r="H936" s="1">
        <v>1590</v>
      </c>
      <c r="I936" s="1">
        <v>12</v>
      </c>
      <c r="J936" s="1">
        <v>1</v>
      </c>
      <c r="K936" s="2">
        <v>29560.31</v>
      </c>
      <c r="L936" s="1">
        <v>0</v>
      </c>
      <c r="M936" s="1">
        <v>0.32</v>
      </c>
      <c r="N936" s="1">
        <v>7</v>
      </c>
      <c r="O936" s="4" t="s">
        <v>1936</v>
      </c>
    </row>
    <row r="937" spans="1:15" x14ac:dyDescent="0.3">
      <c r="A937" s="1" t="s">
        <v>1866</v>
      </c>
      <c r="B937" s="1" t="s">
        <v>1867</v>
      </c>
      <c r="C937" s="2">
        <v>23561.759999999998</v>
      </c>
      <c r="D937" s="1" t="s">
        <v>24</v>
      </c>
      <c r="E937" s="1" t="s">
        <v>39</v>
      </c>
      <c r="F937" s="1" t="s">
        <v>19</v>
      </c>
      <c r="G937" s="1" t="s">
        <v>31</v>
      </c>
      <c r="H937" s="1">
        <v>337</v>
      </c>
      <c r="I937" s="1">
        <v>22</v>
      </c>
      <c r="J937" s="1">
        <v>3</v>
      </c>
      <c r="K937" s="2">
        <v>27324.31</v>
      </c>
      <c r="L937" s="1">
        <v>0</v>
      </c>
      <c r="M937" s="1">
        <v>0.96099999999999997</v>
      </c>
      <c r="N937" s="1">
        <v>5</v>
      </c>
      <c r="O937" s="4" t="s">
        <v>1936</v>
      </c>
    </row>
    <row r="938" spans="1:15" x14ac:dyDescent="0.3">
      <c r="A938" s="1" t="s">
        <v>1868</v>
      </c>
      <c r="B938" s="1" t="s">
        <v>1869</v>
      </c>
      <c r="C938" s="2">
        <v>39643.49</v>
      </c>
      <c r="D938" s="1" t="s">
        <v>17</v>
      </c>
      <c r="E938" s="1" t="s">
        <v>39</v>
      </c>
      <c r="F938" s="1" t="s">
        <v>30</v>
      </c>
      <c r="G938" s="1" t="s">
        <v>20</v>
      </c>
      <c r="H938" s="1">
        <v>811</v>
      </c>
      <c r="I938" s="1">
        <v>8</v>
      </c>
      <c r="J938" s="1">
        <v>2</v>
      </c>
      <c r="K938" s="2">
        <v>15591.46</v>
      </c>
      <c r="L938" s="1">
        <v>0</v>
      </c>
      <c r="M938" s="1">
        <v>8.8999999999999996E-2</v>
      </c>
      <c r="N938" s="1">
        <v>9</v>
      </c>
      <c r="O938" s="4" t="s">
        <v>1936</v>
      </c>
    </row>
    <row r="939" spans="1:15" x14ac:dyDescent="0.3">
      <c r="A939" s="1" t="s">
        <v>1870</v>
      </c>
      <c r="B939" s="1" t="s">
        <v>1871</v>
      </c>
      <c r="C939" s="2">
        <v>7653.8</v>
      </c>
      <c r="D939" s="1" t="s">
        <v>17</v>
      </c>
      <c r="E939" s="1" t="s">
        <v>25</v>
      </c>
      <c r="F939" s="1" t="s">
        <v>26</v>
      </c>
      <c r="G939" s="1" t="s">
        <v>20</v>
      </c>
      <c r="H939" s="1">
        <v>1221</v>
      </c>
      <c r="I939" s="1">
        <v>14</v>
      </c>
      <c r="J939" s="1">
        <v>3</v>
      </c>
      <c r="K939" s="2">
        <v>12306.7</v>
      </c>
      <c r="L939" s="1">
        <v>1</v>
      </c>
      <c r="M939" s="1">
        <v>7.3999999999999996E-2</v>
      </c>
      <c r="N939" s="1">
        <v>1</v>
      </c>
      <c r="O939" s="4" t="s">
        <v>1936</v>
      </c>
    </row>
    <row r="940" spans="1:15" x14ac:dyDescent="0.3">
      <c r="A940" s="1" t="s">
        <v>1872</v>
      </c>
      <c r="B940" s="1" t="s">
        <v>1873</v>
      </c>
      <c r="C940" s="2">
        <v>22314.2</v>
      </c>
      <c r="D940" s="1" t="s">
        <v>51</v>
      </c>
      <c r="E940" s="1" t="s">
        <v>25</v>
      </c>
      <c r="F940" s="1" t="s">
        <v>26</v>
      </c>
      <c r="G940" s="1" t="s">
        <v>56</v>
      </c>
      <c r="H940" s="1">
        <v>1730</v>
      </c>
      <c r="I940" s="1">
        <v>14</v>
      </c>
      <c r="J940" s="1">
        <v>4</v>
      </c>
      <c r="K940" s="2">
        <v>14059.59</v>
      </c>
      <c r="L940" s="1">
        <v>0</v>
      </c>
      <c r="M940" s="1">
        <v>0.77300000000000002</v>
      </c>
      <c r="N940" s="1">
        <v>9</v>
      </c>
      <c r="O940" s="4" t="s">
        <v>1936</v>
      </c>
    </row>
    <row r="941" spans="1:15" x14ac:dyDescent="0.3">
      <c r="A941" s="1" t="s">
        <v>1874</v>
      </c>
      <c r="B941" s="1" t="s">
        <v>1875</v>
      </c>
      <c r="C941" s="2">
        <v>36489.599999999999</v>
      </c>
      <c r="D941" s="1" t="s">
        <v>17</v>
      </c>
      <c r="E941" s="1" t="s">
        <v>29</v>
      </c>
      <c r="F941" s="1" t="s">
        <v>19</v>
      </c>
      <c r="G941" s="1" t="s">
        <v>56</v>
      </c>
      <c r="H941" s="1">
        <v>1961</v>
      </c>
      <c r="I941" s="1">
        <v>16</v>
      </c>
      <c r="J941" s="1">
        <v>2</v>
      </c>
      <c r="K941" s="2">
        <v>22337.55</v>
      </c>
      <c r="L941" s="1">
        <v>0</v>
      </c>
      <c r="M941" s="1">
        <v>0.47899999999999998</v>
      </c>
      <c r="N941" s="1">
        <v>1</v>
      </c>
      <c r="O941" s="4" t="s">
        <v>1936</v>
      </c>
    </row>
    <row r="942" spans="1:15" x14ac:dyDescent="0.3">
      <c r="A942" s="1" t="s">
        <v>1876</v>
      </c>
      <c r="B942" s="1" t="s">
        <v>1877</v>
      </c>
      <c r="C942" s="2">
        <v>3767.7</v>
      </c>
      <c r="D942" s="1" t="s">
        <v>24</v>
      </c>
      <c r="E942" s="1" t="s">
        <v>18</v>
      </c>
      <c r="F942" s="1" t="s">
        <v>19</v>
      </c>
      <c r="G942" s="1" t="s">
        <v>31</v>
      </c>
      <c r="H942" s="1">
        <v>1407</v>
      </c>
      <c r="I942" s="1">
        <v>6</v>
      </c>
      <c r="J942" s="1">
        <v>0</v>
      </c>
      <c r="K942" s="2">
        <v>6700.86</v>
      </c>
      <c r="L942" s="1">
        <v>0</v>
      </c>
      <c r="M942" s="1">
        <v>3.9E-2</v>
      </c>
      <c r="N942" s="1">
        <v>5</v>
      </c>
      <c r="O942" s="4" t="s">
        <v>1936</v>
      </c>
    </row>
    <row r="943" spans="1:15" x14ac:dyDescent="0.3">
      <c r="A943" s="1" t="s">
        <v>1878</v>
      </c>
      <c r="B943" s="1" t="s">
        <v>1879</v>
      </c>
      <c r="C943" s="2">
        <v>46165.03</v>
      </c>
      <c r="D943" s="1" t="s">
        <v>24</v>
      </c>
      <c r="E943" s="1" t="s">
        <v>29</v>
      </c>
      <c r="F943" s="1" t="s">
        <v>19</v>
      </c>
      <c r="G943" s="1" t="s">
        <v>46</v>
      </c>
      <c r="H943" s="1">
        <v>173</v>
      </c>
      <c r="I943" s="1">
        <v>15</v>
      </c>
      <c r="J943" s="1">
        <v>4</v>
      </c>
      <c r="K943" s="2">
        <v>13281.37</v>
      </c>
      <c r="L943" s="1">
        <v>0</v>
      </c>
      <c r="M943" s="1">
        <v>0.70299999999999996</v>
      </c>
      <c r="N943" s="1">
        <v>9</v>
      </c>
      <c r="O943" s="4" t="s">
        <v>1936</v>
      </c>
    </row>
    <row r="944" spans="1:15" x14ac:dyDescent="0.3">
      <c r="A944" s="1" t="s">
        <v>1880</v>
      </c>
      <c r="B944" s="1" t="s">
        <v>1881</v>
      </c>
      <c r="C944" s="2">
        <v>6398.78</v>
      </c>
      <c r="D944" s="1" t="s">
        <v>17</v>
      </c>
      <c r="E944" s="1" t="s">
        <v>39</v>
      </c>
      <c r="F944" s="1" t="s">
        <v>26</v>
      </c>
      <c r="G944" s="1" t="s">
        <v>31</v>
      </c>
      <c r="H944" s="1">
        <v>790</v>
      </c>
      <c r="I944" s="1">
        <v>14</v>
      </c>
      <c r="J944" s="1">
        <v>2</v>
      </c>
      <c r="K944" s="2">
        <v>29169.5</v>
      </c>
      <c r="L944" s="1">
        <v>0</v>
      </c>
      <c r="M944" s="1">
        <v>0.36299999999999999</v>
      </c>
      <c r="N944" s="1">
        <v>9</v>
      </c>
      <c r="O944" s="4" t="s">
        <v>1936</v>
      </c>
    </row>
    <row r="945" spans="1:15" x14ac:dyDescent="0.3">
      <c r="A945" s="1" t="s">
        <v>1882</v>
      </c>
      <c r="B945" s="1" t="s">
        <v>1883</v>
      </c>
      <c r="C945" s="2">
        <v>20824.89</v>
      </c>
      <c r="D945" s="1" t="s">
        <v>17</v>
      </c>
      <c r="E945" s="1" t="s">
        <v>29</v>
      </c>
      <c r="F945" s="1" t="s">
        <v>30</v>
      </c>
      <c r="G945" s="1" t="s">
        <v>46</v>
      </c>
      <c r="H945" s="1">
        <v>1027</v>
      </c>
      <c r="I945" s="1">
        <v>13</v>
      </c>
      <c r="J945" s="1">
        <v>4</v>
      </c>
      <c r="K945" s="2">
        <v>18811.259999999998</v>
      </c>
      <c r="L945" s="1">
        <v>0</v>
      </c>
      <c r="M945" s="1">
        <v>0.20100000000000001</v>
      </c>
      <c r="N945" s="1">
        <v>1</v>
      </c>
      <c r="O945" s="4" t="s">
        <v>1936</v>
      </c>
    </row>
    <row r="946" spans="1:15" x14ac:dyDescent="0.3">
      <c r="A946" s="1" t="s">
        <v>1884</v>
      </c>
      <c r="B946" s="1" t="s">
        <v>1885</v>
      </c>
      <c r="C946" s="2">
        <v>40228.5</v>
      </c>
      <c r="D946" s="1" t="s">
        <v>17</v>
      </c>
      <c r="E946" s="1" t="s">
        <v>18</v>
      </c>
      <c r="F946" s="1" t="s">
        <v>26</v>
      </c>
      <c r="G946" s="1" t="s">
        <v>36</v>
      </c>
      <c r="H946" s="1">
        <v>1331</v>
      </c>
      <c r="I946" s="1">
        <v>5</v>
      </c>
      <c r="J946" s="1">
        <v>4</v>
      </c>
      <c r="K946" s="2">
        <v>16342.3</v>
      </c>
      <c r="L946" s="1">
        <v>0</v>
      </c>
      <c r="M946" s="1">
        <v>0.89100000000000001</v>
      </c>
      <c r="N946" s="1">
        <v>3</v>
      </c>
      <c r="O946" s="4" t="s">
        <v>1936</v>
      </c>
    </row>
    <row r="947" spans="1:15" x14ac:dyDescent="0.3">
      <c r="A947" s="1" t="s">
        <v>1886</v>
      </c>
      <c r="B947" s="1" t="s">
        <v>1887</v>
      </c>
      <c r="C947" s="2">
        <v>13277.58</v>
      </c>
      <c r="D947" s="1" t="s">
        <v>51</v>
      </c>
      <c r="E947" s="1" t="s">
        <v>39</v>
      </c>
      <c r="F947" s="1" t="s">
        <v>26</v>
      </c>
      <c r="G947" s="1" t="s">
        <v>36</v>
      </c>
      <c r="H947" s="1">
        <v>1571</v>
      </c>
      <c r="I947" s="1">
        <v>13</v>
      </c>
      <c r="J947" s="1">
        <v>2</v>
      </c>
      <c r="K947" s="2">
        <v>4445.91</v>
      </c>
      <c r="L947" s="1">
        <v>1</v>
      </c>
      <c r="M947" s="1">
        <v>0.67600000000000005</v>
      </c>
      <c r="N947" s="1">
        <v>6</v>
      </c>
      <c r="O947" s="4" t="s">
        <v>1936</v>
      </c>
    </row>
    <row r="948" spans="1:15" x14ac:dyDescent="0.3">
      <c r="A948" s="1" t="s">
        <v>1888</v>
      </c>
      <c r="B948" s="1" t="s">
        <v>1889</v>
      </c>
      <c r="C948" s="2">
        <v>30909.77</v>
      </c>
      <c r="D948" s="1" t="s">
        <v>17</v>
      </c>
      <c r="E948" s="1" t="s">
        <v>39</v>
      </c>
      <c r="F948" s="1" t="s">
        <v>30</v>
      </c>
      <c r="G948" s="1" t="s">
        <v>20</v>
      </c>
      <c r="H948" s="1">
        <v>533</v>
      </c>
      <c r="I948" s="1">
        <v>9</v>
      </c>
      <c r="J948" s="1">
        <v>2</v>
      </c>
      <c r="K948" s="2">
        <v>14019.7</v>
      </c>
      <c r="L948" s="1">
        <v>0</v>
      </c>
      <c r="M948" s="1">
        <v>0.82399999999999995</v>
      </c>
      <c r="N948" s="1">
        <v>1</v>
      </c>
      <c r="O948" s="4" t="s">
        <v>1936</v>
      </c>
    </row>
    <row r="949" spans="1:15" x14ac:dyDescent="0.3">
      <c r="A949" s="1" t="s">
        <v>1890</v>
      </c>
      <c r="B949" s="1" t="s">
        <v>812</v>
      </c>
      <c r="C949" s="2">
        <v>2645.71</v>
      </c>
      <c r="D949" s="1" t="s">
        <v>51</v>
      </c>
      <c r="E949" s="1" t="s">
        <v>39</v>
      </c>
      <c r="F949" s="1" t="s">
        <v>30</v>
      </c>
      <c r="G949" s="1" t="s">
        <v>31</v>
      </c>
      <c r="H949" s="1">
        <v>889</v>
      </c>
      <c r="I949" s="1">
        <v>0</v>
      </c>
      <c r="J949" s="1">
        <v>3</v>
      </c>
      <c r="K949" s="2">
        <v>19618.509999999998</v>
      </c>
      <c r="L949" s="1">
        <v>0</v>
      </c>
      <c r="M949" s="1">
        <v>0.68</v>
      </c>
      <c r="N949" s="1">
        <v>1</v>
      </c>
      <c r="O949" s="4" t="s">
        <v>1936</v>
      </c>
    </row>
    <row r="950" spans="1:15" x14ac:dyDescent="0.3">
      <c r="A950" s="1" t="s">
        <v>1891</v>
      </c>
      <c r="B950" s="1" t="s">
        <v>1892</v>
      </c>
      <c r="C950" s="2">
        <v>13157.68</v>
      </c>
      <c r="D950" s="1" t="s">
        <v>24</v>
      </c>
      <c r="E950" s="1" t="s">
        <v>25</v>
      </c>
      <c r="F950" s="1" t="s">
        <v>26</v>
      </c>
      <c r="G950" s="1" t="s">
        <v>36</v>
      </c>
      <c r="H950" s="1">
        <v>1823</v>
      </c>
      <c r="I950" s="1">
        <v>10</v>
      </c>
      <c r="J950" s="1">
        <v>2</v>
      </c>
      <c r="K950" s="2">
        <v>10873.9</v>
      </c>
      <c r="L950" s="1">
        <v>0</v>
      </c>
      <c r="M950" s="1">
        <v>0.56699999999999995</v>
      </c>
      <c r="N950" s="1">
        <v>2</v>
      </c>
      <c r="O950" s="4" t="s">
        <v>1936</v>
      </c>
    </row>
    <row r="951" spans="1:15" x14ac:dyDescent="0.3">
      <c r="A951" s="1" t="s">
        <v>1893</v>
      </c>
      <c r="B951" s="1" t="s">
        <v>1894</v>
      </c>
      <c r="C951" s="2">
        <v>11443.61</v>
      </c>
      <c r="D951" s="1" t="s">
        <v>24</v>
      </c>
      <c r="E951" s="1" t="s">
        <v>39</v>
      </c>
      <c r="F951" s="1" t="s">
        <v>19</v>
      </c>
      <c r="G951" s="1" t="s">
        <v>56</v>
      </c>
      <c r="H951" s="1">
        <v>1821</v>
      </c>
      <c r="I951" s="1">
        <v>19</v>
      </c>
      <c r="J951" s="1">
        <v>4</v>
      </c>
      <c r="K951" s="2">
        <v>24974.09</v>
      </c>
      <c r="L951" s="1">
        <v>0</v>
      </c>
      <c r="M951" s="1">
        <v>0.98399999999999999</v>
      </c>
      <c r="N951" s="1">
        <v>5</v>
      </c>
      <c r="O951" s="4" t="s">
        <v>1936</v>
      </c>
    </row>
    <row r="952" spans="1:15" x14ac:dyDescent="0.3">
      <c r="A952" s="1" t="s">
        <v>1895</v>
      </c>
      <c r="B952" s="1" t="s">
        <v>1896</v>
      </c>
      <c r="C952" s="2">
        <v>19027.22</v>
      </c>
      <c r="D952" s="1" t="s">
        <v>51</v>
      </c>
      <c r="E952" s="1" t="s">
        <v>18</v>
      </c>
      <c r="F952" s="1" t="s">
        <v>30</v>
      </c>
      <c r="G952" s="1" t="s">
        <v>20</v>
      </c>
      <c r="H952" s="1">
        <v>119</v>
      </c>
      <c r="I952" s="1">
        <v>4</v>
      </c>
      <c r="J952" s="1">
        <v>2</v>
      </c>
      <c r="K952" s="2">
        <v>14224.74</v>
      </c>
      <c r="L952" s="1">
        <v>0</v>
      </c>
      <c r="M952" s="1">
        <v>0.96699999999999997</v>
      </c>
      <c r="N952" s="1">
        <v>4</v>
      </c>
      <c r="O952" s="4" t="s">
        <v>1936</v>
      </c>
    </row>
    <row r="953" spans="1:15" x14ac:dyDescent="0.3">
      <c r="A953" s="1" t="s">
        <v>1897</v>
      </c>
      <c r="B953" s="1" t="s">
        <v>1898</v>
      </c>
      <c r="C953" s="2">
        <v>8861.77</v>
      </c>
      <c r="D953" s="1" t="s">
        <v>17</v>
      </c>
      <c r="E953" s="1" t="s">
        <v>39</v>
      </c>
      <c r="F953" s="1" t="s">
        <v>26</v>
      </c>
      <c r="G953" s="1" t="s">
        <v>31</v>
      </c>
      <c r="H953" s="1">
        <v>848</v>
      </c>
      <c r="I953" s="1">
        <v>15</v>
      </c>
      <c r="J953" s="1">
        <v>4</v>
      </c>
      <c r="K953" s="2">
        <v>17105.080000000002</v>
      </c>
      <c r="L953" s="1">
        <v>0</v>
      </c>
      <c r="M953" s="1">
        <v>0.68799999999999994</v>
      </c>
      <c r="N953" s="1">
        <v>2</v>
      </c>
      <c r="O953" s="4" t="s">
        <v>1936</v>
      </c>
    </row>
    <row r="954" spans="1:15" x14ac:dyDescent="0.3">
      <c r="A954" s="1" t="s">
        <v>1899</v>
      </c>
      <c r="B954" s="1" t="s">
        <v>1900</v>
      </c>
      <c r="C954" s="2">
        <v>515.04999999999995</v>
      </c>
      <c r="D954" s="1" t="s">
        <v>24</v>
      </c>
      <c r="E954" s="1" t="s">
        <v>25</v>
      </c>
      <c r="F954" s="1" t="s">
        <v>19</v>
      </c>
      <c r="G954" s="1" t="s">
        <v>56</v>
      </c>
      <c r="H954" s="1">
        <v>412</v>
      </c>
      <c r="I954" s="1">
        <v>21</v>
      </c>
      <c r="J954" s="1">
        <v>1</v>
      </c>
      <c r="K954" s="2">
        <v>13137.36</v>
      </c>
      <c r="L954" s="1">
        <v>0</v>
      </c>
      <c r="M954" s="1">
        <v>0.51</v>
      </c>
      <c r="N954" s="1">
        <v>3</v>
      </c>
      <c r="O954" s="4" t="s">
        <v>1936</v>
      </c>
    </row>
    <row r="955" spans="1:15" x14ac:dyDescent="0.3">
      <c r="A955" s="1" t="s">
        <v>1901</v>
      </c>
      <c r="B955" s="1" t="s">
        <v>1902</v>
      </c>
      <c r="C955" s="2">
        <v>45721.31</v>
      </c>
      <c r="D955" s="1" t="s">
        <v>51</v>
      </c>
      <c r="E955" s="1" t="s">
        <v>29</v>
      </c>
      <c r="F955" s="1" t="s">
        <v>19</v>
      </c>
      <c r="G955" s="1" t="s">
        <v>31</v>
      </c>
      <c r="H955" s="1">
        <v>1889</v>
      </c>
      <c r="I955" s="1">
        <v>17</v>
      </c>
      <c r="J955" s="1">
        <v>2</v>
      </c>
      <c r="K955" s="2">
        <v>24242.85</v>
      </c>
      <c r="L955" s="1">
        <v>0</v>
      </c>
      <c r="M955" s="1">
        <v>1.2999999999999999E-2</v>
      </c>
      <c r="N955" s="1">
        <v>1</v>
      </c>
      <c r="O955" s="4" t="s">
        <v>1936</v>
      </c>
    </row>
    <row r="956" spans="1:15" x14ac:dyDescent="0.3">
      <c r="A956" s="1" t="s">
        <v>1903</v>
      </c>
      <c r="B956" s="1" t="s">
        <v>1904</v>
      </c>
      <c r="C956" s="2">
        <v>17782.009999999998</v>
      </c>
      <c r="D956" s="1" t="s">
        <v>24</v>
      </c>
      <c r="E956" s="1" t="s">
        <v>39</v>
      </c>
      <c r="F956" s="1" t="s">
        <v>30</v>
      </c>
      <c r="G956" s="1" t="s">
        <v>36</v>
      </c>
      <c r="H956" s="1">
        <v>1817</v>
      </c>
      <c r="I956" s="1">
        <v>5</v>
      </c>
      <c r="J956" s="1">
        <v>1</v>
      </c>
      <c r="K956" s="2">
        <v>16982.53</v>
      </c>
      <c r="L956" s="1">
        <v>0</v>
      </c>
      <c r="M956" s="1">
        <v>0.91500000000000004</v>
      </c>
      <c r="N956" s="1">
        <v>3</v>
      </c>
      <c r="O956" s="4" t="s">
        <v>1936</v>
      </c>
    </row>
    <row r="957" spans="1:15" x14ac:dyDescent="0.3">
      <c r="A957" s="1" t="s">
        <v>1905</v>
      </c>
      <c r="B957" s="1" t="s">
        <v>1906</v>
      </c>
      <c r="C957" s="2">
        <v>6495.37</v>
      </c>
      <c r="D957" s="1" t="s">
        <v>24</v>
      </c>
      <c r="E957" s="1" t="s">
        <v>39</v>
      </c>
      <c r="F957" s="1" t="s">
        <v>30</v>
      </c>
      <c r="G957" s="1" t="s">
        <v>46</v>
      </c>
      <c r="H957" s="1">
        <v>1460</v>
      </c>
      <c r="I957" s="1">
        <v>23</v>
      </c>
      <c r="J957" s="1">
        <v>3</v>
      </c>
      <c r="K957" s="2">
        <v>2119.6799999999998</v>
      </c>
      <c r="L957" s="1">
        <v>0</v>
      </c>
      <c r="M957" s="1">
        <v>0.316</v>
      </c>
      <c r="N957" s="1">
        <v>8</v>
      </c>
      <c r="O957" s="4" t="s">
        <v>1936</v>
      </c>
    </row>
    <row r="958" spans="1:15" x14ac:dyDescent="0.3">
      <c r="A958" s="1" t="s">
        <v>1907</v>
      </c>
      <c r="B958" s="1" t="s">
        <v>1908</v>
      </c>
      <c r="C958" s="2">
        <v>13771.52</v>
      </c>
      <c r="D958" s="1" t="s">
        <v>17</v>
      </c>
      <c r="E958" s="1" t="s">
        <v>18</v>
      </c>
      <c r="F958" s="1" t="s">
        <v>19</v>
      </c>
      <c r="G958" s="1" t="s">
        <v>20</v>
      </c>
      <c r="H958" s="1">
        <v>121</v>
      </c>
      <c r="I958" s="1">
        <v>10</v>
      </c>
      <c r="J958" s="1">
        <v>0</v>
      </c>
      <c r="K958" s="2">
        <v>8624.24</v>
      </c>
      <c r="L958" s="1">
        <v>0</v>
      </c>
      <c r="M958" s="1">
        <v>5.5E-2</v>
      </c>
      <c r="N958" s="1">
        <v>6</v>
      </c>
      <c r="O958" s="4" t="s">
        <v>1936</v>
      </c>
    </row>
    <row r="959" spans="1:15" x14ac:dyDescent="0.3">
      <c r="A959" s="1" t="s">
        <v>1909</v>
      </c>
      <c r="B959" s="1" t="s">
        <v>1910</v>
      </c>
      <c r="C959" s="2">
        <v>49468.01</v>
      </c>
      <c r="D959" s="1" t="s">
        <v>17</v>
      </c>
      <c r="E959" s="1" t="s">
        <v>18</v>
      </c>
      <c r="F959" s="1" t="s">
        <v>30</v>
      </c>
      <c r="G959" s="1" t="s">
        <v>56</v>
      </c>
      <c r="H959" s="1">
        <v>1054</v>
      </c>
      <c r="I959" s="1">
        <v>17</v>
      </c>
      <c r="J959" s="1">
        <v>2</v>
      </c>
      <c r="K959" s="2">
        <v>15686.81</v>
      </c>
      <c r="L959" s="1">
        <v>0</v>
      </c>
      <c r="M959" s="1">
        <v>0.46100000000000002</v>
      </c>
      <c r="N959" s="1">
        <v>9</v>
      </c>
      <c r="O959" s="4" t="s">
        <v>1936</v>
      </c>
    </row>
    <row r="960" spans="1:15" x14ac:dyDescent="0.3">
      <c r="A960" s="1" t="s">
        <v>1911</v>
      </c>
      <c r="B960" s="1" t="s">
        <v>1912</v>
      </c>
      <c r="C960" s="2">
        <v>2012.63</v>
      </c>
      <c r="D960" s="1" t="s">
        <v>24</v>
      </c>
      <c r="E960" s="1" t="s">
        <v>18</v>
      </c>
      <c r="F960" s="1" t="s">
        <v>19</v>
      </c>
      <c r="G960" s="1" t="s">
        <v>46</v>
      </c>
      <c r="H960" s="1">
        <v>1721</v>
      </c>
      <c r="I960" s="1">
        <v>13</v>
      </c>
      <c r="J960" s="1">
        <v>0</v>
      </c>
      <c r="K960" s="2">
        <v>13277.11</v>
      </c>
      <c r="L960" s="1">
        <v>0</v>
      </c>
      <c r="M960" s="1">
        <v>0.69199999999999995</v>
      </c>
      <c r="N960" s="1">
        <v>7</v>
      </c>
      <c r="O960" s="4" t="s">
        <v>1936</v>
      </c>
    </row>
    <row r="961" spans="1:15" x14ac:dyDescent="0.3">
      <c r="A961" s="1" t="s">
        <v>1913</v>
      </c>
      <c r="B961" s="1" t="s">
        <v>1914</v>
      </c>
      <c r="C961" s="2">
        <v>2157.91</v>
      </c>
      <c r="D961" s="1" t="s">
        <v>51</v>
      </c>
      <c r="E961" s="1" t="s">
        <v>29</v>
      </c>
      <c r="F961" s="1" t="s">
        <v>26</v>
      </c>
      <c r="G961" s="1" t="s">
        <v>20</v>
      </c>
      <c r="H961" s="1">
        <v>1556</v>
      </c>
      <c r="I961" s="1">
        <v>22</v>
      </c>
      <c r="J961" s="1">
        <v>1</v>
      </c>
      <c r="K961" s="2">
        <v>25085.59</v>
      </c>
      <c r="L961" s="1">
        <v>0</v>
      </c>
      <c r="M961" s="1">
        <v>0.17399999999999999</v>
      </c>
      <c r="N961" s="1">
        <v>6</v>
      </c>
      <c r="O961" s="4" t="s">
        <v>1936</v>
      </c>
    </row>
    <row r="962" spans="1:15" x14ac:dyDescent="0.3">
      <c r="A962" s="1" t="s">
        <v>1915</v>
      </c>
      <c r="B962" s="1" t="s">
        <v>1916</v>
      </c>
      <c r="C962" s="2">
        <v>24839.94</v>
      </c>
      <c r="D962" s="1" t="s">
        <v>17</v>
      </c>
      <c r="E962" s="1" t="s">
        <v>39</v>
      </c>
      <c r="F962" s="1" t="s">
        <v>26</v>
      </c>
      <c r="G962" s="1" t="s">
        <v>46</v>
      </c>
      <c r="H962" s="1">
        <v>1848</v>
      </c>
      <c r="I962" s="1">
        <v>19</v>
      </c>
      <c r="J962" s="1">
        <v>3</v>
      </c>
      <c r="K962" s="2">
        <v>24622.16</v>
      </c>
      <c r="L962" s="1">
        <v>0</v>
      </c>
      <c r="M962" s="1">
        <v>0.91500000000000004</v>
      </c>
      <c r="N962" s="1">
        <v>4</v>
      </c>
      <c r="O962" s="4" t="s">
        <v>1936</v>
      </c>
    </row>
    <row r="963" spans="1:15" x14ac:dyDescent="0.3">
      <c r="A963" s="1" t="s">
        <v>1917</v>
      </c>
      <c r="B963" s="1" t="s">
        <v>1918</v>
      </c>
      <c r="C963" s="2">
        <v>42487.53</v>
      </c>
      <c r="D963" s="1" t="s">
        <v>24</v>
      </c>
      <c r="E963" s="1" t="s">
        <v>18</v>
      </c>
      <c r="F963" s="1" t="s">
        <v>26</v>
      </c>
      <c r="G963" s="1" t="s">
        <v>36</v>
      </c>
      <c r="H963" s="1">
        <v>832</v>
      </c>
      <c r="I963" s="1">
        <v>1</v>
      </c>
      <c r="J963" s="1">
        <v>1</v>
      </c>
      <c r="K963" s="2">
        <v>2005.96</v>
      </c>
      <c r="L963" s="1">
        <v>0</v>
      </c>
      <c r="M963" s="1">
        <v>0.18</v>
      </c>
      <c r="N963" s="1">
        <v>3</v>
      </c>
      <c r="O963" s="4" t="s">
        <v>1936</v>
      </c>
    </row>
    <row r="964" spans="1:15" x14ac:dyDescent="0.3">
      <c r="A964" s="1" t="s">
        <v>1919</v>
      </c>
      <c r="B964" s="1" t="s">
        <v>616</v>
      </c>
      <c r="C964" s="2">
        <v>6091.99</v>
      </c>
      <c r="D964" s="1" t="s">
        <v>24</v>
      </c>
      <c r="E964" s="1" t="s">
        <v>29</v>
      </c>
      <c r="F964" s="1" t="s">
        <v>30</v>
      </c>
      <c r="G964" s="1" t="s">
        <v>56</v>
      </c>
      <c r="H964" s="1">
        <v>1971</v>
      </c>
      <c r="I964" s="1">
        <v>15</v>
      </c>
      <c r="J964" s="1">
        <v>0</v>
      </c>
      <c r="K964" s="2">
        <v>25185.48</v>
      </c>
      <c r="L964" s="1">
        <v>0</v>
      </c>
      <c r="M964" s="1">
        <v>0.49299999999999999</v>
      </c>
      <c r="N964" s="1">
        <v>5</v>
      </c>
      <c r="O964" s="4" t="s">
        <v>1936</v>
      </c>
    </row>
    <row r="965" spans="1:15" x14ac:dyDescent="0.3">
      <c r="A965" s="1" t="s">
        <v>1920</v>
      </c>
      <c r="B965" s="1" t="s">
        <v>1921</v>
      </c>
      <c r="C965" s="2">
        <v>8780.6</v>
      </c>
      <c r="D965" s="1" t="s">
        <v>24</v>
      </c>
      <c r="E965" s="1" t="s">
        <v>29</v>
      </c>
      <c r="F965" s="1" t="s">
        <v>30</v>
      </c>
      <c r="G965" s="1" t="s">
        <v>36</v>
      </c>
      <c r="H965" s="1">
        <v>1427</v>
      </c>
      <c r="I965" s="1">
        <v>13</v>
      </c>
      <c r="J965" s="1">
        <v>3</v>
      </c>
      <c r="K965" s="2">
        <v>2845.39</v>
      </c>
      <c r="L965" s="1">
        <v>0</v>
      </c>
      <c r="M965" s="1">
        <v>0.27600000000000002</v>
      </c>
      <c r="N965" s="1">
        <v>9</v>
      </c>
      <c r="O965" s="4" t="s">
        <v>1936</v>
      </c>
    </row>
    <row r="966" spans="1:15" x14ac:dyDescent="0.3">
      <c r="A966" s="1" t="s">
        <v>1922</v>
      </c>
      <c r="B966" s="1" t="s">
        <v>1923</v>
      </c>
      <c r="C966" s="2">
        <v>26852.080000000002</v>
      </c>
      <c r="D966" s="1" t="s">
        <v>51</v>
      </c>
      <c r="E966" s="1" t="s">
        <v>29</v>
      </c>
      <c r="F966" s="1" t="s">
        <v>30</v>
      </c>
      <c r="G966" s="1" t="s">
        <v>31</v>
      </c>
      <c r="H966" s="1">
        <v>1451</v>
      </c>
      <c r="I966" s="1">
        <v>23</v>
      </c>
      <c r="J966" s="1">
        <v>1</v>
      </c>
      <c r="K966" s="2">
        <v>17863.009999999998</v>
      </c>
      <c r="L966" s="1">
        <v>0</v>
      </c>
      <c r="M966" s="1">
        <v>0.47299999999999998</v>
      </c>
      <c r="N966" s="1">
        <v>3</v>
      </c>
      <c r="O966" s="4" t="s">
        <v>1936</v>
      </c>
    </row>
    <row r="967" spans="1:15" x14ac:dyDescent="0.3">
      <c r="A967" s="1" t="s">
        <v>1924</v>
      </c>
      <c r="B967" s="1" t="s">
        <v>1925</v>
      </c>
      <c r="C967" s="2">
        <v>24288.52</v>
      </c>
      <c r="D967" s="1" t="s">
        <v>17</v>
      </c>
      <c r="E967" s="1" t="s">
        <v>18</v>
      </c>
      <c r="F967" s="1" t="s">
        <v>19</v>
      </c>
      <c r="G967" s="1" t="s">
        <v>31</v>
      </c>
      <c r="H967" s="1">
        <v>23</v>
      </c>
      <c r="I967" s="1">
        <v>9</v>
      </c>
      <c r="J967" s="1">
        <v>4</v>
      </c>
      <c r="K967" s="2">
        <v>14294.75</v>
      </c>
      <c r="L967" s="1">
        <v>0</v>
      </c>
      <c r="M967" s="1">
        <v>0.41299999999999998</v>
      </c>
      <c r="N967" s="1">
        <v>4</v>
      </c>
      <c r="O967" s="4" t="s">
        <v>1936</v>
      </c>
    </row>
    <row r="968" spans="1:15" x14ac:dyDescent="0.3">
      <c r="A968" s="1" t="s">
        <v>1926</v>
      </c>
      <c r="B968" s="1" t="s">
        <v>544</v>
      </c>
      <c r="C968" s="2">
        <v>34519.26</v>
      </c>
      <c r="D968" s="1" t="s">
        <v>51</v>
      </c>
      <c r="E968" s="1" t="s">
        <v>29</v>
      </c>
      <c r="F968" s="1" t="s">
        <v>30</v>
      </c>
      <c r="G968" s="1" t="s">
        <v>31</v>
      </c>
      <c r="H968" s="1">
        <v>1527</v>
      </c>
      <c r="I968" s="1">
        <v>20</v>
      </c>
      <c r="J968" s="1">
        <v>3</v>
      </c>
      <c r="K968" s="2">
        <v>17741.98</v>
      </c>
      <c r="L968" s="1">
        <v>0</v>
      </c>
      <c r="M968" s="1">
        <v>0.59099999999999997</v>
      </c>
      <c r="N968" s="1">
        <v>8</v>
      </c>
      <c r="O968" s="4" t="s">
        <v>1936</v>
      </c>
    </row>
    <row r="969" spans="1:15" x14ac:dyDescent="0.3">
      <c r="A969" s="1" t="s">
        <v>1927</v>
      </c>
      <c r="B969" s="1" t="s">
        <v>1928</v>
      </c>
      <c r="C969" s="2">
        <v>12838.26</v>
      </c>
      <c r="D969" s="1" t="s">
        <v>24</v>
      </c>
      <c r="E969" s="1" t="s">
        <v>29</v>
      </c>
      <c r="F969" s="1" t="s">
        <v>19</v>
      </c>
      <c r="G969" s="1" t="s">
        <v>46</v>
      </c>
      <c r="H969" s="1">
        <v>417</v>
      </c>
      <c r="I969" s="1">
        <v>22</v>
      </c>
      <c r="J969" s="1">
        <v>3</v>
      </c>
      <c r="K969" s="2">
        <v>6880.37</v>
      </c>
      <c r="L969" s="1">
        <v>1</v>
      </c>
      <c r="M969" s="1">
        <v>0.29699999999999999</v>
      </c>
      <c r="N969" s="1">
        <v>7</v>
      </c>
      <c r="O969" s="4" t="s">
        <v>1936</v>
      </c>
    </row>
    <row r="970" spans="1:15" x14ac:dyDescent="0.3">
      <c r="A970" s="1" t="s">
        <v>1929</v>
      </c>
      <c r="B970" s="1" t="s">
        <v>1930</v>
      </c>
      <c r="C970" s="2">
        <v>5857.87</v>
      </c>
      <c r="D970" s="1" t="s">
        <v>24</v>
      </c>
      <c r="E970" s="1" t="s">
        <v>29</v>
      </c>
      <c r="F970" s="1" t="s">
        <v>30</v>
      </c>
      <c r="G970" s="1" t="s">
        <v>46</v>
      </c>
      <c r="H970" s="1">
        <v>1864</v>
      </c>
      <c r="I970" s="1">
        <v>5</v>
      </c>
      <c r="J970" s="1">
        <v>0</v>
      </c>
      <c r="K970" s="2">
        <v>20562.29</v>
      </c>
      <c r="L970" s="1">
        <v>0</v>
      </c>
      <c r="M970" s="1">
        <v>0.99099999999999999</v>
      </c>
      <c r="N970" s="1">
        <v>7</v>
      </c>
      <c r="O970" s="4" t="s">
        <v>1936</v>
      </c>
    </row>
    <row r="971" spans="1:15" x14ac:dyDescent="0.3">
      <c r="A971" s="1" t="s">
        <v>1931</v>
      </c>
      <c r="B971" s="1" t="s">
        <v>1932</v>
      </c>
      <c r="C971" s="2">
        <v>20265.060000000001</v>
      </c>
      <c r="D971" s="1" t="s">
        <v>51</v>
      </c>
      <c r="E971" s="1" t="s">
        <v>18</v>
      </c>
      <c r="F971" s="1" t="s">
        <v>19</v>
      </c>
      <c r="G971" s="1" t="s">
        <v>20</v>
      </c>
      <c r="H971" s="1">
        <v>104</v>
      </c>
      <c r="I971" s="1">
        <v>23</v>
      </c>
      <c r="J971" s="1">
        <v>3</v>
      </c>
      <c r="K971" s="2">
        <v>10055.780000000001</v>
      </c>
      <c r="L971" s="1">
        <v>0</v>
      </c>
      <c r="M971" s="1">
        <v>0.97299999999999998</v>
      </c>
      <c r="N971" s="1">
        <v>7</v>
      </c>
      <c r="O971" s="4" t="s">
        <v>1936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D5851-315C-499B-BAE3-8845EF4E2CE8}">
  <dimension ref="A1:R1002"/>
  <sheetViews>
    <sheetView zoomScaleNormal="100" workbookViewId="0">
      <selection activeCell="A6" sqref="A6"/>
    </sheetView>
  </sheetViews>
  <sheetFormatPr defaultRowHeight="15.6" x14ac:dyDescent="0.3"/>
  <cols>
    <col min="1" max="1" width="14.6640625" style="6" bestFit="1" customWidth="1"/>
    <col min="2" max="2" width="20.109375" style="6" bestFit="1" customWidth="1"/>
    <col min="3" max="3" width="5.77734375" style="6" customWidth="1"/>
    <col min="4" max="4" width="12.109375" style="6" bestFit="1" customWidth="1"/>
    <col min="5" max="5" width="23.44140625" style="6" bestFit="1" customWidth="1"/>
    <col min="6" max="6" width="5.77734375" style="6" customWidth="1"/>
    <col min="7" max="7" width="14.6640625" style="6" bestFit="1" customWidth="1"/>
    <col min="8" max="8" width="17.6640625" style="6" bestFit="1" customWidth="1"/>
    <col min="9" max="9" width="23.88671875" style="6" bestFit="1" customWidth="1"/>
    <col min="10" max="10" width="3.44140625" style="6" customWidth="1"/>
    <col min="11" max="11" width="14.6640625" style="7" bestFit="1" customWidth="1"/>
    <col min="12" max="12" width="20.21875" style="7" bestFit="1" customWidth="1"/>
    <col min="13" max="13" width="17.6640625" style="7" bestFit="1" customWidth="1"/>
    <col min="14" max="14" width="31.33203125" style="7" bestFit="1" customWidth="1"/>
    <col min="15" max="15" width="34.109375" style="7" customWidth="1"/>
    <col min="16" max="16" width="27.77734375" style="7" customWidth="1"/>
    <col min="17" max="18" width="6" style="7" bestFit="1" customWidth="1"/>
    <col min="19" max="19" width="6" bestFit="1" customWidth="1"/>
    <col min="20" max="20" width="5" bestFit="1" customWidth="1"/>
    <col min="21" max="23" width="6" bestFit="1" customWidth="1"/>
    <col min="24" max="24" width="5" bestFit="1" customWidth="1"/>
    <col min="25" max="36" width="6" bestFit="1" customWidth="1"/>
    <col min="37" max="37" width="5" bestFit="1" customWidth="1"/>
    <col min="38" max="38" width="6" bestFit="1" customWidth="1"/>
    <col min="39" max="39" width="5" bestFit="1" customWidth="1"/>
    <col min="40" max="60" width="6" bestFit="1" customWidth="1"/>
    <col min="61" max="61" width="5" bestFit="1" customWidth="1"/>
    <col min="62" max="66" width="6" bestFit="1" customWidth="1"/>
    <col min="67" max="67" width="5" bestFit="1" customWidth="1"/>
    <col min="68" max="77" width="6" bestFit="1" customWidth="1"/>
    <col min="78" max="78" width="5" bestFit="1" customWidth="1"/>
    <col min="79" max="82" width="6" bestFit="1" customWidth="1"/>
    <col min="83" max="83" width="5" bestFit="1" customWidth="1"/>
    <col min="84" max="89" width="6" bestFit="1" customWidth="1"/>
    <col min="90" max="90" width="5" bestFit="1" customWidth="1"/>
    <col min="91" max="91" width="6" bestFit="1" customWidth="1"/>
    <col min="92" max="92" width="5" bestFit="1" customWidth="1"/>
    <col min="93" max="95" width="6" bestFit="1" customWidth="1"/>
    <col min="96" max="96" width="10.5546875" bestFit="1" customWidth="1"/>
    <col min="97" max="623" width="15.5546875" bestFit="1" customWidth="1"/>
    <col min="624" max="624" width="10.5546875" bestFit="1" customWidth="1"/>
  </cols>
  <sheetData>
    <row r="1" spans="1:18" x14ac:dyDescent="0.3">
      <c r="A1" s="16" t="s">
        <v>14</v>
      </c>
      <c r="B1" s="17" t="s">
        <v>1936</v>
      </c>
      <c r="D1" s="16" t="s">
        <v>14</v>
      </c>
      <c r="E1" s="18">
        <v>1</v>
      </c>
      <c r="G1" s="19" t="s">
        <v>14</v>
      </c>
      <c r="H1" s="7" t="s">
        <v>1936</v>
      </c>
      <c r="I1" s="7"/>
      <c r="K1" s="20" t="s">
        <v>1933</v>
      </c>
      <c r="L1" s="21" t="s">
        <v>1937</v>
      </c>
      <c r="M1" s="21" t="s">
        <v>1935</v>
      </c>
      <c r="N1" s="21" t="s">
        <v>1938</v>
      </c>
      <c r="O1" s="21" t="s">
        <v>1945</v>
      </c>
      <c r="P1" s="21" t="s">
        <v>1946</v>
      </c>
    </row>
    <row r="2" spans="1:18" x14ac:dyDescent="0.3">
      <c r="G2" s="7"/>
      <c r="H2" s="7"/>
      <c r="I2" s="7"/>
      <c r="K2" s="7" t="s">
        <v>21</v>
      </c>
      <c r="L2" s="7">
        <v>481</v>
      </c>
      <c r="M2" s="11">
        <v>0.49587628865979383</v>
      </c>
      <c r="N2" s="12">
        <v>12138761.639999999</v>
      </c>
      <c r="O2" s="12">
        <v>15330.334261954271</v>
      </c>
      <c r="P2" s="12">
        <v>25236.510686070684</v>
      </c>
    </row>
    <row r="3" spans="1:18" x14ac:dyDescent="0.3">
      <c r="A3" s="16" t="s">
        <v>1933</v>
      </c>
      <c r="B3" s="17" t="s">
        <v>1935</v>
      </c>
      <c r="D3" s="16" t="s">
        <v>1933</v>
      </c>
      <c r="E3" s="17" t="s">
        <v>1937</v>
      </c>
      <c r="G3" s="19" t="s">
        <v>1933</v>
      </c>
      <c r="H3" s="7" t="s">
        <v>1935</v>
      </c>
      <c r="I3" s="7" t="s">
        <v>1938</v>
      </c>
      <c r="K3" s="7" t="s">
        <v>1936</v>
      </c>
      <c r="L3" s="7">
        <v>489</v>
      </c>
      <c r="M3" s="11">
        <v>0.50412371134020617</v>
      </c>
      <c r="N3" s="12">
        <v>11861287.119999994</v>
      </c>
      <c r="O3" s="12">
        <v>15310.463312883441</v>
      </c>
      <c r="P3" s="12">
        <v>24256.210879345592</v>
      </c>
    </row>
    <row r="4" spans="1:18" x14ac:dyDescent="0.3">
      <c r="A4" s="17" t="s">
        <v>29</v>
      </c>
      <c r="B4" s="34">
        <v>135</v>
      </c>
      <c r="D4" s="17">
        <v>0</v>
      </c>
      <c r="E4" s="17">
        <v>21</v>
      </c>
      <c r="G4" s="7" t="s">
        <v>56</v>
      </c>
      <c r="H4" s="36">
        <v>93</v>
      </c>
      <c r="I4" s="12">
        <v>2397562.3600000008</v>
      </c>
      <c r="K4" s="7" t="s">
        <v>1934</v>
      </c>
      <c r="L4" s="7">
        <v>970</v>
      </c>
      <c r="M4" s="11">
        <v>1</v>
      </c>
      <c r="N4" s="12">
        <v>24000048.75999999</v>
      </c>
      <c r="O4" s="12">
        <v>15320.316845360812</v>
      </c>
      <c r="P4" s="12">
        <v>24742.31830927834</v>
      </c>
    </row>
    <row r="5" spans="1:18" x14ac:dyDescent="0.3">
      <c r="A5" s="17" t="s">
        <v>39</v>
      </c>
      <c r="B5" s="34">
        <v>120</v>
      </c>
      <c r="D5" s="17">
        <v>1</v>
      </c>
      <c r="E5" s="17">
        <v>18</v>
      </c>
      <c r="G5" s="7" t="s">
        <v>29</v>
      </c>
      <c r="H5" s="36">
        <v>25</v>
      </c>
      <c r="I5" s="12">
        <v>690675.43</v>
      </c>
      <c r="N5" s="6"/>
      <c r="O5" s="6"/>
      <c r="P5" s="6"/>
    </row>
    <row r="6" spans="1:18" x14ac:dyDescent="0.3">
      <c r="A6" s="17" t="s">
        <v>18</v>
      </c>
      <c r="B6" s="34">
        <v>120</v>
      </c>
      <c r="D6" s="17">
        <v>2</v>
      </c>
      <c r="E6" s="17">
        <v>14</v>
      </c>
      <c r="G6" s="7" t="s">
        <v>39</v>
      </c>
      <c r="H6" s="36">
        <v>16</v>
      </c>
      <c r="I6" s="12">
        <v>402563.87000000005</v>
      </c>
      <c r="K6" s="33" t="s">
        <v>1947</v>
      </c>
      <c r="L6" s="33"/>
      <c r="M6" s="33"/>
      <c r="N6" s="33"/>
      <c r="O6" s="33"/>
      <c r="P6" s="5"/>
    </row>
    <row r="7" spans="1:18" s="23" customFormat="1" x14ac:dyDescent="0.3">
      <c r="A7" s="25" t="s">
        <v>25</v>
      </c>
      <c r="B7" s="35">
        <v>114</v>
      </c>
      <c r="C7" s="22"/>
      <c r="D7" s="25">
        <v>3</v>
      </c>
      <c r="E7" s="25">
        <v>24</v>
      </c>
      <c r="F7" s="22"/>
      <c r="G7" s="21" t="s">
        <v>18</v>
      </c>
      <c r="H7" s="37">
        <v>27</v>
      </c>
      <c r="I7" s="26">
        <v>572516.34</v>
      </c>
      <c r="J7" s="22"/>
      <c r="K7" s="1" t="s">
        <v>1941</v>
      </c>
      <c r="L7" s="27" t="s">
        <v>1943</v>
      </c>
      <c r="M7" s="1" t="s">
        <v>1942</v>
      </c>
      <c r="N7" s="27" t="s">
        <v>1948</v>
      </c>
      <c r="O7" s="1" t="s">
        <v>1949</v>
      </c>
      <c r="P7" s="28"/>
      <c r="Q7" s="21"/>
      <c r="R7" s="21"/>
    </row>
    <row r="8" spans="1:18" x14ac:dyDescent="0.3">
      <c r="A8" s="17" t="s">
        <v>1934</v>
      </c>
      <c r="B8" s="34">
        <v>489</v>
      </c>
      <c r="D8" s="17">
        <v>4</v>
      </c>
      <c r="E8" s="17">
        <v>23</v>
      </c>
      <c r="G8" s="7" t="s">
        <v>25</v>
      </c>
      <c r="H8" s="36">
        <v>25</v>
      </c>
      <c r="I8" s="12">
        <v>731806.71999999997</v>
      </c>
      <c r="K8" s="24" t="str">
        <f>TEXT(L3,"#,##")</f>
        <v>489</v>
      </c>
      <c r="L8" s="24" t="str">
        <f>TEXT(M3,"##.##%")</f>
        <v>50.41%</v>
      </c>
      <c r="M8" s="24" t="str">
        <f>TEXT(N3,"#,##,##,###")</f>
        <v>1,18,61,287</v>
      </c>
      <c r="N8" s="24" t="str">
        <f>TEXT(O3,"#,###,##")</f>
        <v>15,310</v>
      </c>
      <c r="O8" s="24" t="str">
        <f>TEXT(P3,"#,###")</f>
        <v>24,256</v>
      </c>
      <c r="P8" s="5"/>
    </row>
    <row r="9" spans="1:18" x14ac:dyDescent="0.3">
      <c r="D9" s="17">
        <v>5</v>
      </c>
      <c r="E9" s="17">
        <v>18</v>
      </c>
      <c r="G9" s="7" t="s">
        <v>31</v>
      </c>
      <c r="H9" s="36">
        <v>91</v>
      </c>
      <c r="I9" s="12">
        <v>2118696.8100000005</v>
      </c>
    </row>
    <row r="10" spans="1:18" x14ac:dyDescent="0.3">
      <c r="D10" s="17">
        <v>6</v>
      </c>
      <c r="E10" s="17">
        <v>27</v>
      </c>
      <c r="G10" s="7" t="s">
        <v>29</v>
      </c>
      <c r="H10" s="36">
        <v>26</v>
      </c>
      <c r="I10" s="12">
        <v>709119.87000000011</v>
      </c>
    </row>
    <row r="11" spans="1:18" x14ac:dyDescent="0.3">
      <c r="A11" s="16" t="s">
        <v>14</v>
      </c>
      <c r="B11" s="17" t="s">
        <v>1936</v>
      </c>
      <c r="D11" s="17">
        <v>7</v>
      </c>
      <c r="E11" s="17">
        <v>13</v>
      </c>
      <c r="G11" s="7" t="s">
        <v>39</v>
      </c>
      <c r="H11" s="36">
        <v>26</v>
      </c>
      <c r="I11" s="12">
        <v>546229.67999999993</v>
      </c>
    </row>
    <row r="12" spans="1:18" x14ac:dyDescent="0.3">
      <c r="D12" s="17">
        <v>8</v>
      </c>
      <c r="E12" s="17">
        <v>21</v>
      </c>
      <c r="G12" s="7" t="s">
        <v>18</v>
      </c>
      <c r="H12" s="36">
        <v>14</v>
      </c>
      <c r="I12" s="12">
        <v>309591.21999999997</v>
      </c>
    </row>
    <row r="13" spans="1:18" x14ac:dyDescent="0.3">
      <c r="A13" s="16" t="s">
        <v>1933</v>
      </c>
      <c r="B13" s="17" t="s">
        <v>1935</v>
      </c>
      <c r="D13" s="17">
        <v>9</v>
      </c>
      <c r="E13" s="17">
        <v>26</v>
      </c>
      <c r="G13" s="7" t="s">
        <v>25</v>
      </c>
      <c r="H13" s="36">
        <v>25</v>
      </c>
      <c r="I13" s="12">
        <v>553756.03999999992</v>
      </c>
    </row>
    <row r="14" spans="1:18" x14ac:dyDescent="0.3">
      <c r="A14" s="17" t="s">
        <v>30</v>
      </c>
      <c r="B14" s="34">
        <v>172</v>
      </c>
      <c r="D14" s="17">
        <v>10</v>
      </c>
      <c r="E14" s="17">
        <v>18</v>
      </c>
      <c r="G14" s="7" t="s">
        <v>36</v>
      </c>
      <c r="H14" s="36">
        <v>83</v>
      </c>
      <c r="I14" s="12">
        <v>1896563.0000000005</v>
      </c>
    </row>
    <row r="15" spans="1:18" x14ac:dyDescent="0.3">
      <c r="A15" s="17" t="s">
        <v>26</v>
      </c>
      <c r="B15" s="34">
        <v>165</v>
      </c>
      <c r="D15" s="17">
        <v>11</v>
      </c>
      <c r="E15" s="17">
        <v>17</v>
      </c>
      <c r="G15" s="7" t="s">
        <v>29</v>
      </c>
      <c r="H15" s="36">
        <v>23</v>
      </c>
      <c r="I15" s="12">
        <v>513453.3</v>
      </c>
    </row>
    <row r="16" spans="1:18" x14ac:dyDescent="0.3">
      <c r="A16" s="17" t="s">
        <v>19</v>
      </c>
      <c r="B16" s="34">
        <v>152</v>
      </c>
      <c r="D16" s="17">
        <v>12</v>
      </c>
      <c r="E16" s="17">
        <v>23</v>
      </c>
      <c r="G16" s="7" t="s">
        <v>39</v>
      </c>
      <c r="H16" s="36">
        <v>22</v>
      </c>
      <c r="I16" s="12">
        <v>445999.39000000007</v>
      </c>
    </row>
    <row r="17" spans="1:18" x14ac:dyDescent="0.3">
      <c r="A17" s="17" t="s">
        <v>1934</v>
      </c>
      <c r="B17" s="34">
        <v>489</v>
      </c>
      <c r="D17" s="17">
        <v>13</v>
      </c>
      <c r="E17" s="17">
        <v>18</v>
      </c>
      <c r="G17" s="7" t="s">
        <v>18</v>
      </c>
      <c r="H17" s="36">
        <v>18</v>
      </c>
      <c r="I17" s="12">
        <v>462201.93999999994</v>
      </c>
    </row>
    <row r="18" spans="1:18" x14ac:dyDescent="0.3">
      <c r="A18" s="17"/>
      <c r="B18" s="17"/>
      <c r="D18" s="17">
        <v>14</v>
      </c>
      <c r="E18" s="17">
        <v>27</v>
      </c>
      <c r="G18" s="7" t="s">
        <v>25</v>
      </c>
      <c r="H18" s="36">
        <v>20</v>
      </c>
      <c r="I18" s="12">
        <v>474908.37</v>
      </c>
    </row>
    <row r="19" spans="1:18" x14ac:dyDescent="0.3">
      <c r="D19" s="17">
        <v>15</v>
      </c>
      <c r="E19" s="17">
        <v>22</v>
      </c>
      <c r="G19" s="7" t="s">
        <v>20</v>
      </c>
      <c r="H19" s="36">
        <v>115</v>
      </c>
      <c r="I19" s="12">
        <v>2889771.5199999991</v>
      </c>
    </row>
    <row r="20" spans="1:18" x14ac:dyDescent="0.3">
      <c r="A20" s="19" t="s">
        <v>14</v>
      </c>
      <c r="B20" s="7" t="s">
        <v>1936</v>
      </c>
      <c r="C20" s="7"/>
      <c r="D20" s="17">
        <v>16</v>
      </c>
      <c r="E20" s="17">
        <v>15</v>
      </c>
      <c r="G20" s="7" t="s">
        <v>29</v>
      </c>
      <c r="H20" s="36">
        <v>25</v>
      </c>
      <c r="I20" s="12">
        <v>631838.46000000008</v>
      </c>
    </row>
    <row r="21" spans="1:18" x14ac:dyDescent="0.3">
      <c r="A21" s="7"/>
      <c r="B21" s="7"/>
      <c r="C21" s="7"/>
      <c r="D21" s="17">
        <v>17</v>
      </c>
      <c r="E21" s="17">
        <v>20</v>
      </c>
      <c r="G21" s="7" t="s">
        <v>39</v>
      </c>
      <c r="H21" s="36">
        <v>26</v>
      </c>
      <c r="I21" s="12">
        <v>655605.70999999985</v>
      </c>
    </row>
    <row r="22" spans="1:18" x14ac:dyDescent="0.3">
      <c r="A22" s="19" t="s">
        <v>1933</v>
      </c>
      <c r="B22" s="7" t="s">
        <v>1939</v>
      </c>
      <c r="C22" s="7"/>
      <c r="D22" s="17">
        <v>18</v>
      </c>
      <c r="E22" s="17">
        <v>17</v>
      </c>
      <c r="G22" s="7" t="s">
        <v>18</v>
      </c>
      <c r="H22" s="36">
        <v>39</v>
      </c>
      <c r="I22" s="12">
        <v>919334.41</v>
      </c>
    </row>
    <row r="23" spans="1:18" x14ac:dyDescent="0.3">
      <c r="A23" s="7" t="s">
        <v>56</v>
      </c>
      <c r="B23" s="36">
        <v>8</v>
      </c>
      <c r="C23" s="7"/>
      <c r="D23" s="17">
        <v>19</v>
      </c>
      <c r="E23" s="17">
        <v>29</v>
      </c>
      <c r="G23" s="7" t="s">
        <v>25</v>
      </c>
      <c r="H23" s="36">
        <v>25</v>
      </c>
      <c r="I23" s="12">
        <v>682992.94000000018</v>
      </c>
    </row>
    <row r="24" spans="1:18" x14ac:dyDescent="0.3">
      <c r="A24" s="7" t="s">
        <v>31</v>
      </c>
      <c r="B24" s="36">
        <v>6</v>
      </c>
      <c r="C24" s="7"/>
      <c r="D24" s="17">
        <v>20</v>
      </c>
      <c r="E24" s="17">
        <v>19</v>
      </c>
      <c r="G24" s="7" t="s">
        <v>46</v>
      </c>
      <c r="H24" s="36">
        <v>107</v>
      </c>
      <c r="I24" s="12">
        <v>2558693.4299999992</v>
      </c>
    </row>
    <row r="25" spans="1:18" x14ac:dyDescent="0.3">
      <c r="A25" s="7" t="s">
        <v>36</v>
      </c>
      <c r="B25" s="36">
        <v>5</v>
      </c>
      <c r="C25" s="7"/>
      <c r="D25" s="17">
        <v>21</v>
      </c>
      <c r="E25" s="17">
        <v>17</v>
      </c>
      <c r="G25" s="7" t="s">
        <v>29</v>
      </c>
      <c r="H25" s="36">
        <v>36</v>
      </c>
      <c r="I25" s="12">
        <v>890404.25</v>
      </c>
    </row>
    <row r="26" spans="1:18" x14ac:dyDescent="0.3">
      <c r="A26" s="7" t="s">
        <v>20</v>
      </c>
      <c r="B26" s="36">
        <v>12</v>
      </c>
      <c r="C26" s="7"/>
      <c r="D26" s="17">
        <v>22</v>
      </c>
      <c r="E26" s="17">
        <v>23</v>
      </c>
      <c r="G26" s="7" t="s">
        <v>39</v>
      </c>
      <c r="H26" s="36">
        <v>30</v>
      </c>
      <c r="I26" s="12">
        <v>685602.66</v>
      </c>
    </row>
    <row r="27" spans="1:18" x14ac:dyDescent="0.3">
      <c r="A27" s="7" t="s">
        <v>46</v>
      </c>
      <c r="B27" s="36">
        <v>10</v>
      </c>
      <c r="C27" s="7"/>
      <c r="D27" s="17">
        <v>23</v>
      </c>
      <c r="E27" s="17">
        <v>19</v>
      </c>
      <c r="G27" s="7" t="s">
        <v>18</v>
      </c>
      <c r="H27" s="36">
        <v>22</v>
      </c>
      <c r="I27" s="12">
        <v>510783.33</v>
      </c>
    </row>
    <row r="28" spans="1:18" x14ac:dyDescent="0.3">
      <c r="A28" s="7" t="s">
        <v>1934</v>
      </c>
      <c r="B28" s="36">
        <v>41</v>
      </c>
      <c r="C28" s="7"/>
      <c r="D28" s="17" t="s">
        <v>1934</v>
      </c>
      <c r="E28" s="17">
        <v>489</v>
      </c>
      <c r="G28" s="7" t="s">
        <v>25</v>
      </c>
      <c r="H28" s="36">
        <v>19</v>
      </c>
      <c r="I28" s="12">
        <v>471903.19</v>
      </c>
    </row>
    <row r="29" spans="1:18" x14ac:dyDescent="0.3">
      <c r="C29" s="7"/>
      <c r="G29" s="7" t="s">
        <v>1934</v>
      </c>
      <c r="H29" s="36">
        <v>489</v>
      </c>
      <c r="I29" s="12">
        <v>11861287.120000007</v>
      </c>
    </row>
    <row r="30" spans="1:18" x14ac:dyDescent="0.3">
      <c r="B30" s="7"/>
      <c r="C30" s="8"/>
    </row>
    <row r="31" spans="1:18" s="15" customFormat="1" ht="40.200000000000003" customHeight="1" x14ac:dyDescent="0.3">
      <c r="A31" s="13"/>
      <c r="B31" s="13"/>
      <c r="C31" s="13"/>
      <c r="D31" s="13"/>
      <c r="E31" s="13"/>
      <c r="F31" s="13"/>
      <c r="G31" s="14"/>
      <c r="H31" s="14"/>
      <c r="I31" s="14"/>
      <c r="J31" s="14"/>
      <c r="K31" s="13"/>
      <c r="L31" s="13"/>
      <c r="M31" s="13"/>
      <c r="N31" s="13"/>
      <c r="O31" s="13"/>
      <c r="P31" s="13"/>
      <c r="Q31" s="13"/>
      <c r="R31" s="13"/>
    </row>
    <row r="37" spans="1:18" s="15" customFormat="1" x14ac:dyDescent="0.3">
      <c r="A37" s="13"/>
      <c r="B37" s="13"/>
      <c r="C37" s="13"/>
      <c r="D37" s="13"/>
      <c r="E37" s="13"/>
      <c r="F37" s="13"/>
      <c r="G37" s="14"/>
      <c r="H37" s="14"/>
      <c r="I37" s="14"/>
      <c r="J37" s="14"/>
      <c r="K37" s="13"/>
      <c r="L37" s="13"/>
      <c r="M37" s="13"/>
      <c r="N37" s="13"/>
      <c r="O37" s="13"/>
      <c r="P37" s="13"/>
      <c r="Q37" s="13"/>
      <c r="R37" s="13"/>
    </row>
    <row r="39" spans="1:18" x14ac:dyDescent="0.3">
      <c r="A39" s="7"/>
      <c r="B39" s="7"/>
      <c r="C39" s="7"/>
    </row>
    <row r="40" spans="1:18" x14ac:dyDescent="0.3">
      <c r="C40" s="7"/>
    </row>
    <row r="41" spans="1:18" x14ac:dyDescent="0.3">
      <c r="C41" s="7"/>
    </row>
    <row r="42" spans="1:18" x14ac:dyDescent="0.3">
      <c r="C42" s="7"/>
    </row>
    <row r="43" spans="1:18" x14ac:dyDescent="0.3">
      <c r="C43" s="7"/>
    </row>
    <row r="44" spans="1:18" x14ac:dyDescent="0.3">
      <c r="C44" s="7"/>
    </row>
    <row r="45" spans="1:18" x14ac:dyDescent="0.3">
      <c r="C45" s="7"/>
    </row>
    <row r="46" spans="1:18" x14ac:dyDescent="0.3">
      <c r="C46" s="7"/>
    </row>
    <row r="47" spans="1:18" x14ac:dyDescent="0.3">
      <c r="C47" s="7"/>
    </row>
    <row r="48" spans="1:18" x14ac:dyDescent="0.3">
      <c r="C48" s="7"/>
    </row>
    <row r="68" spans="1:1" x14ac:dyDescent="0.3">
      <c r="A68" s="7"/>
    </row>
    <row r="98" spans="1:1" x14ac:dyDescent="0.3">
      <c r="A98" s="7"/>
    </row>
    <row r="99" spans="1:1" x14ac:dyDescent="0.3">
      <c r="A99" s="7"/>
    </row>
    <row r="100" spans="1:1" x14ac:dyDescent="0.3">
      <c r="A100" s="7"/>
    </row>
    <row r="101" spans="1:1" x14ac:dyDescent="0.3">
      <c r="A101" s="7"/>
    </row>
    <row r="102" spans="1:1" x14ac:dyDescent="0.3">
      <c r="A102" s="7"/>
    </row>
    <row r="103" spans="1:1" x14ac:dyDescent="0.3">
      <c r="A103" s="7"/>
    </row>
    <row r="104" spans="1:1" x14ac:dyDescent="0.3">
      <c r="A104" s="7"/>
    </row>
    <row r="105" spans="1:1" x14ac:dyDescent="0.3">
      <c r="A105" s="7"/>
    </row>
    <row r="106" spans="1:1" x14ac:dyDescent="0.3">
      <c r="A106" s="7"/>
    </row>
    <row r="107" spans="1:1" x14ac:dyDescent="0.3">
      <c r="A107" s="7"/>
    </row>
    <row r="108" spans="1:1" x14ac:dyDescent="0.3">
      <c r="A108" s="7"/>
    </row>
    <row r="109" spans="1:1" x14ac:dyDescent="0.3">
      <c r="A109" s="7"/>
    </row>
    <row r="110" spans="1:1" x14ac:dyDescent="0.3">
      <c r="A110" s="7"/>
    </row>
    <row r="111" spans="1:1" x14ac:dyDescent="0.3">
      <c r="A111" s="7"/>
    </row>
    <row r="112" spans="1:1" x14ac:dyDescent="0.3">
      <c r="A112" s="7"/>
    </row>
    <row r="113" spans="1:1" x14ac:dyDescent="0.3">
      <c r="A113" s="7"/>
    </row>
    <row r="114" spans="1:1" x14ac:dyDescent="0.3">
      <c r="A114" s="7"/>
    </row>
    <row r="115" spans="1:1" x14ac:dyDescent="0.3">
      <c r="A115" s="7"/>
    </row>
    <row r="116" spans="1:1" x14ac:dyDescent="0.3">
      <c r="A116" s="7"/>
    </row>
    <row r="117" spans="1:1" x14ac:dyDescent="0.3">
      <c r="A117" s="7"/>
    </row>
    <row r="118" spans="1:1" x14ac:dyDescent="0.3">
      <c r="A118" s="7"/>
    </row>
    <row r="119" spans="1:1" x14ac:dyDescent="0.3">
      <c r="A119" s="7"/>
    </row>
    <row r="120" spans="1:1" x14ac:dyDescent="0.3">
      <c r="A120" s="7"/>
    </row>
    <row r="121" spans="1:1" x14ac:dyDescent="0.3">
      <c r="A121" s="7"/>
    </row>
    <row r="122" spans="1:1" x14ac:dyDescent="0.3">
      <c r="A122" s="7"/>
    </row>
    <row r="123" spans="1:1" x14ac:dyDescent="0.3">
      <c r="A123" s="7"/>
    </row>
    <row r="124" spans="1:1" x14ac:dyDescent="0.3">
      <c r="A124" s="7"/>
    </row>
    <row r="125" spans="1:1" x14ac:dyDescent="0.3">
      <c r="A125" s="7"/>
    </row>
    <row r="126" spans="1:1" x14ac:dyDescent="0.3">
      <c r="A126" s="7"/>
    </row>
    <row r="127" spans="1:1" x14ac:dyDescent="0.3">
      <c r="A127" s="7"/>
    </row>
    <row r="128" spans="1:1" x14ac:dyDescent="0.3">
      <c r="A128" s="7"/>
    </row>
    <row r="129" spans="1:1" x14ac:dyDescent="0.3">
      <c r="A129" s="7"/>
    </row>
    <row r="130" spans="1:1" x14ac:dyDescent="0.3">
      <c r="A130" s="7"/>
    </row>
    <row r="131" spans="1:1" x14ac:dyDescent="0.3">
      <c r="A131" s="7"/>
    </row>
    <row r="132" spans="1:1" x14ac:dyDescent="0.3">
      <c r="A132" s="7"/>
    </row>
    <row r="133" spans="1:1" x14ac:dyDescent="0.3">
      <c r="A133" s="7"/>
    </row>
    <row r="134" spans="1:1" x14ac:dyDescent="0.3">
      <c r="A134" s="7"/>
    </row>
    <row r="135" spans="1:1" x14ac:dyDescent="0.3">
      <c r="A135" s="7"/>
    </row>
    <row r="136" spans="1:1" x14ac:dyDescent="0.3">
      <c r="A136" s="7"/>
    </row>
    <row r="137" spans="1:1" x14ac:dyDescent="0.3">
      <c r="A137" s="7"/>
    </row>
    <row r="138" spans="1:1" x14ac:dyDescent="0.3">
      <c r="A138" s="7"/>
    </row>
    <row r="139" spans="1:1" x14ac:dyDescent="0.3">
      <c r="A139" s="7"/>
    </row>
    <row r="140" spans="1:1" x14ac:dyDescent="0.3">
      <c r="A140" s="7"/>
    </row>
    <row r="141" spans="1:1" x14ac:dyDescent="0.3">
      <c r="A141" s="7"/>
    </row>
    <row r="142" spans="1:1" x14ac:dyDescent="0.3">
      <c r="A142" s="7"/>
    </row>
    <row r="143" spans="1:1" x14ac:dyDescent="0.3">
      <c r="A143" s="7"/>
    </row>
    <row r="144" spans="1:1" x14ac:dyDescent="0.3">
      <c r="A144" s="7"/>
    </row>
    <row r="145" spans="1:1" x14ac:dyDescent="0.3">
      <c r="A145" s="7"/>
    </row>
    <row r="146" spans="1:1" x14ac:dyDescent="0.3">
      <c r="A146" s="7"/>
    </row>
    <row r="147" spans="1:1" x14ac:dyDescent="0.3">
      <c r="A147" s="7"/>
    </row>
    <row r="148" spans="1:1" x14ac:dyDescent="0.3">
      <c r="A148" s="7"/>
    </row>
    <row r="149" spans="1:1" x14ac:dyDescent="0.3">
      <c r="A149" s="7"/>
    </row>
    <row r="150" spans="1:1" x14ac:dyDescent="0.3">
      <c r="A150" s="7"/>
    </row>
    <row r="151" spans="1:1" x14ac:dyDescent="0.3">
      <c r="A151" s="7"/>
    </row>
    <row r="152" spans="1:1" x14ac:dyDescent="0.3">
      <c r="A152" s="7"/>
    </row>
    <row r="153" spans="1:1" x14ac:dyDescent="0.3">
      <c r="A153" s="7"/>
    </row>
    <row r="154" spans="1:1" x14ac:dyDescent="0.3">
      <c r="A154" s="7"/>
    </row>
    <row r="155" spans="1:1" x14ac:dyDescent="0.3">
      <c r="A155" s="7"/>
    </row>
    <row r="156" spans="1:1" x14ac:dyDescent="0.3">
      <c r="A156" s="7"/>
    </row>
    <row r="157" spans="1:1" x14ac:dyDescent="0.3">
      <c r="A157" s="7"/>
    </row>
    <row r="158" spans="1:1" x14ac:dyDescent="0.3">
      <c r="A158" s="7"/>
    </row>
    <row r="159" spans="1:1" x14ac:dyDescent="0.3">
      <c r="A159" s="7"/>
    </row>
    <row r="160" spans="1:1" x14ac:dyDescent="0.3">
      <c r="A160" s="7"/>
    </row>
    <row r="161" spans="1:1" x14ac:dyDescent="0.3">
      <c r="A161" s="7"/>
    </row>
    <row r="162" spans="1:1" x14ac:dyDescent="0.3">
      <c r="A162" s="7"/>
    </row>
    <row r="163" spans="1:1" x14ac:dyDescent="0.3">
      <c r="A163" s="7"/>
    </row>
    <row r="164" spans="1:1" x14ac:dyDescent="0.3">
      <c r="A164" s="7"/>
    </row>
    <row r="165" spans="1:1" x14ac:dyDescent="0.3">
      <c r="A165" s="7"/>
    </row>
    <row r="166" spans="1:1" x14ac:dyDescent="0.3">
      <c r="A166" s="7"/>
    </row>
    <row r="167" spans="1:1" x14ac:dyDescent="0.3">
      <c r="A167" s="7"/>
    </row>
    <row r="168" spans="1:1" x14ac:dyDescent="0.3">
      <c r="A168" s="7"/>
    </row>
    <row r="169" spans="1:1" x14ac:dyDescent="0.3">
      <c r="A169" s="7"/>
    </row>
    <row r="170" spans="1:1" x14ac:dyDescent="0.3">
      <c r="A170" s="7"/>
    </row>
    <row r="171" spans="1:1" x14ac:dyDescent="0.3">
      <c r="A171" s="7"/>
    </row>
    <row r="172" spans="1:1" x14ac:dyDescent="0.3">
      <c r="A172" s="7"/>
    </row>
    <row r="173" spans="1:1" x14ac:dyDescent="0.3">
      <c r="A173" s="7"/>
    </row>
    <row r="174" spans="1:1" x14ac:dyDescent="0.3">
      <c r="A174" s="7"/>
    </row>
    <row r="175" spans="1:1" x14ac:dyDescent="0.3">
      <c r="A175" s="7"/>
    </row>
    <row r="176" spans="1:1" x14ac:dyDescent="0.3">
      <c r="A176" s="7"/>
    </row>
    <row r="177" spans="1:1" x14ac:dyDescent="0.3">
      <c r="A177" s="7"/>
    </row>
    <row r="178" spans="1:1" x14ac:dyDescent="0.3">
      <c r="A178" s="7"/>
    </row>
    <row r="179" spans="1:1" x14ac:dyDescent="0.3">
      <c r="A179" s="7"/>
    </row>
    <row r="180" spans="1:1" x14ac:dyDescent="0.3">
      <c r="A180" s="7"/>
    </row>
    <row r="181" spans="1:1" x14ac:dyDescent="0.3">
      <c r="A181" s="7"/>
    </row>
    <row r="182" spans="1:1" x14ac:dyDescent="0.3">
      <c r="A182" s="7"/>
    </row>
    <row r="183" spans="1:1" x14ac:dyDescent="0.3">
      <c r="A183" s="7"/>
    </row>
    <row r="184" spans="1:1" x14ac:dyDescent="0.3">
      <c r="A184" s="7"/>
    </row>
    <row r="185" spans="1:1" x14ac:dyDescent="0.3">
      <c r="A185" s="7"/>
    </row>
    <row r="186" spans="1:1" x14ac:dyDescent="0.3">
      <c r="A186" s="7"/>
    </row>
    <row r="187" spans="1:1" x14ac:dyDescent="0.3">
      <c r="A187" s="7"/>
    </row>
    <row r="188" spans="1:1" x14ac:dyDescent="0.3">
      <c r="A188" s="7"/>
    </row>
    <row r="189" spans="1:1" x14ac:dyDescent="0.3">
      <c r="A189" s="7"/>
    </row>
    <row r="190" spans="1:1" x14ac:dyDescent="0.3">
      <c r="A190" s="7"/>
    </row>
    <row r="191" spans="1:1" x14ac:dyDescent="0.3">
      <c r="A191" s="7"/>
    </row>
    <row r="192" spans="1:1" x14ac:dyDescent="0.3">
      <c r="A192" s="7"/>
    </row>
    <row r="193" spans="1:1" x14ac:dyDescent="0.3">
      <c r="A193" s="7"/>
    </row>
    <row r="194" spans="1:1" x14ac:dyDescent="0.3">
      <c r="A194" s="7"/>
    </row>
    <row r="195" spans="1:1" x14ac:dyDescent="0.3">
      <c r="A195" s="7"/>
    </row>
    <row r="196" spans="1:1" x14ac:dyDescent="0.3">
      <c r="A196" s="7"/>
    </row>
    <row r="197" spans="1:1" x14ac:dyDescent="0.3">
      <c r="A197" s="7"/>
    </row>
    <row r="198" spans="1:1" x14ac:dyDescent="0.3">
      <c r="A198" s="7"/>
    </row>
    <row r="199" spans="1:1" x14ac:dyDescent="0.3">
      <c r="A199" s="7"/>
    </row>
    <row r="200" spans="1:1" x14ac:dyDescent="0.3">
      <c r="A200" s="7"/>
    </row>
    <row r="201" spans="1:1" x14ac:dyDescent="0.3">
      <c r="A201" s="7"/>
    </row>
    <row r="202" spans="1:1" x14ac:dyDescent="0.3">
      <c r="A202" s="7"/>
    </row>
    <row r="203" spans="1:1" x14ac:dyDescent="0.3">
      <c r="A203" s="7"/>
    </row>
    <row r="204" spans="1:1" x14ac:dyDescent="0.3">
      <c r="A204" s="7"/>
    </row>
    <row r="205" spans="1:1" x14ac:dyDescent="0.3">
      <c r="A205" s="7"/>
    </row>
    <row r="206" spans="1:1" x14ac:dyDescent="0.3">
      <c r="A206" s="7"/>
    </row>
    <row r="207" spans="1:1" x14ac:dyDescent="0.3">
      <c r="A207" s="7"/>
    </row>
    <row r="208" spans="1:1" x14ac:dyDescent="0.3">
      <c r="A208" s="7"/>
    </row>
    <row r="209" spans="1:1" x14ac:dyDescent="0.3">
      <c r="A209" s="7"/>
    </row>
    <row r="210" spans="1:1" x14ac:dyDescent="0.3">
      <c r="A210" s="7"/>
    </row>
    <row r="211" spans="1:1" x14ac:dyDescent="0.3">
      <c r="A211" s="7"/>
    </row>
    <row r="212" spans="1:1" x14ac:dyDescent="0.3">
      <c r="A212" s="7"/>
    </row>
    <row r="213" spans="1:1" x14ac:dyDescent="0.3">
      <c r="A213" s="7"/>
    </row>
    <row r="214" spans="1:1" x14ac:dyDescent="0.3">
      <c r="A214" s="7"/>
    </row>
    <row r="215" spans="1:1" x14ac:dyDescent="0.3">
      <c r="A215" s="7"/>
    </row>
    <row r="216" spans="1:1" x14ac:dyDescent="0.3">
      <c r="A216" s="7"/>
    </row>
    <row r="217" spans="1:1" x14ac:dyDescent="0.3">
      <c r="A217" s="7"/>
    </row>
    <row r="218" spans="1:1" x14ac:dyDescent="0.3">
      <c r="A218" s="7"/>
    </row>
    <row r="219" spans="1:1" x14ac:dyDescent="0.3">
      <c r="A219" s="7"/>
    </row>
    <row r="220" spans="1:1" x14ac:dyDescent="0.3">
      <c r="A220" s="7"/>
    </row>
    <row r="221" spans="1:1" x14ac:dyDescent="0.3">
      <c r="A221" s="7"/>
    </row>
    <row r="222" spans="1:1" x14ac:dyDescent="0.3">
      <c r="A222" s="7"/>
    </row>
    <row r="223" spans="1:1" x14ac:dyDescent="0.3">
      <c r="A223" s="7"/>
    </row>
    <row r="224" spans="1:1" x14ac:dyDescent="0.3">
      <c r="A224" s="7"/>
    </row>
    <row r="225" spans="1:1" x14ac:dyDescent="0.3">
      <c r="A225" s="7"/>
    </row>
    <row r="226" spans="1:1" x14ac:dyDescent="0.3">
      <c r="A226" s="7"/>
    </row>
    <row r="227" spans="1:1" x14ac:dyDescent="0.3">
      <c r="A227" s="7"/>
    </row>
    <row r="228" spans="1:1" x14ac:dyDescent="0.3">
      <c r="A228" s="7"/>
    </row>
    <row r="229" spans="1:1" x14ac:dyDescent="0.3">
      <c r="A229" s="7"/>
    </row>
    <row r="230" spans="1:1" x14ac:dyDescent="0.3">
      <c r="A230" s="7"/>
    </row>
    <row r="231" spans="1:1" x14ac:dyDescent="0.3">
      <c r="A231" s="7"/>
    </row>
    <row r="232" spans="1:1" x14ac:dyDescent="0.3">
      <c r="A232" s="7"/>
    </row>
    <row r="233" spans="1:1" x14ac:dyDescent="0.3">
      <c r="A233" s="7"/>
    </row>
    <row r="234" spans="1:1" x14ac:dyDescent="0.3">
      <c r="A234" s="7"/>
    </row>
    <row r="235" spans="1:1" x14ac:dyDescent="0.3">
      <c r="A235" s="7"/>
    </row>
    <row r="236" spans="1:1" x14ac:dyDescent="0.3">
      <c r="A236" s="7"/>
    </row>
    <row r="237" spans="1:1" x14ac:dyDescent="0.3">
      <c r="A237" s="7"/>
    </row>
    <row r="238" spans="1:1" x14ac:dyDescent="0.3">
      <c r="A238" s="7"/>
    </row>
    <row r="239" spans="1:1" x14ac:dyDescent="0.3">
      <c r="A239" s="7"/>
    </row>
    <row r="240" spans="1:1" x14ac:dyDescent="0.3">
      <c r="A240" s="7"/>
    </row>
    <row r="241" spans="1:1" x14ac:dyDescent="0.3">
      <c r="A241" s="7"/>
    </row>
    <row r="242" spans="1:1" x14ac:dyDescent="0.3">
      <c r="A242" s="7"/>
    </row>
    <row r="243" spans="1:1" x14ac:dyDescent="0.3">
      <c r="A243" s="7"/>
    </row>
    <row r="244" spans="1:1" x14ac:dyDescent="0.3">
      <c r="A244" s="7"/>
    </row>
    <row r="245" spans="1:1" x14ac:dyDescent="0.3">
      <c r="A245" s="7"/>
    </row>
    <row r="246" spans="1:1" x14ac:dyDescent="0.3">
      <c r="A246" s="7"/>
    </row>
    <row r="247" spans="1:1" x14ac:dyDescent="0.3">
      <c r="A247" s="7"/>
    </row>
    <row r="248" spans="1:1" x14ac:dyDescent="0.3">
      <c r="A248" s="7"/>
    </row>
    <row r="249" spans="1:1" x14ac:dyDescent="0.3">
      <c r="A249" s="7"/>
    </row>
    <row r="250" spans="1:1" x14ac:dyDescent="0.3">
      <c r="A250" s="7"/>
    </row>
    <row r="251" spans="1:1" x14ac:dyDescent="0.3">
      <c r="A251" s="7"/>
    </row>
    <row r="252" spans="1:1" x14ac:dyDescent="0.3">
      <c r="A252" s="7"/>
    </row>
    <row r="253" spans="1:1" x14ac:dyDescent="0.3">
      <c r="A253" s="7"/>
    </row>
    <row r="254" spans="1:1" x14ac:dyDescent="0.3">
      <c r="A254" s="7"/>
    </row>
    <row r="255" spans="1:1" x14ac:dyDescent="0.3">
      <c r="A255" s="7"/>
    </row>
    <row r="256" spans="1:1" x14ac:dyDescent="0.3">
      <c r="A256" s="7"/>
    </row>
    <row r="257" spans="1:1" x14ac:dyDescent="0.3">
      <c r="A257" s="7"/>
    </row>
    <row r="258" spans="1:1" x14ac:dyDescent="0.3">
      <c r="A258" s="7"/>
    </row>
    <row r="259" spans="1:1" x14ac:dyDescent="0.3">
      <c r="A259" s="7"/>
    </row>
    <row r="260" spans="1:1" x14ac:dyDescent="0.3">
      <c r="A260" s="7"/>
    </row>
    <row r="261" spans="1:1" x14ac:dyDescent="0.3">
      <c r="A261" s="7"/>
    </row>
    <row r="262" spans="1:1" x14ac:dyDescent="0.3">
      <c r="A262" s="7"/>
    </row>
    <row r="263" spans="1:1" x14ac:dyDescent="0.3">
      <c r="A263" s="7"/>
    </row>
    <row r="264" spans="1:1" x14ac:dyDescent="0.3">
      <c r="A264" s="7"/>
    </row>
    <row r="265" spans="1:1" x14ac:dyDescent="0.3">
      <c r="A265" s="7"/>
    </row>
    <row r="266" spans="1:1" x14ac:dyDescent="0.3">
      <c r="A266" s="7"/>
    </row>
    <row r="267" spans="1:1" x14ac:dyDescent="0.3">
      <c r="A267" s="7"/>
    </row>
    <row r="268" spans="1:1" x14ac:dyDescent="0.3">
      <c r="A268" s="7"/>
    </row>
    <row r="269" spans="1:1" x14ac:dyDescent="0.3">
      <c r="A269" s="7"/>
    </row>
    <row r="270" spans="1:1" x14ac:dyDescent="0.3">
      <c r="A270" s="7"/>
    </row>
    <row r="271" spans="1:1" x14ac:dyDescent="0.3">
      <c r="A271" s="7"/>
    </row>
    <row r="272" spans="1:1" x14ac:dyDescent="0.3">
      <c r="A272" s="7"/>
    </row>
    <row r="273" spans="1:1" x14ac:dyDescent="0.3">
      <c r="A273" s="7"/>
    </row>
    <row r="274" spans="1:1" x14ac:dyDescent="0.3">
      <c r="A274" s="7"/>
    </row>
    <row r="275" spans="1:1" x14ac:dyDescent="0.3">
      <c r="A275" s="7"/>
    </row>
    <row r="276" spans="1:1" x14ac:dyDescent="0.3">
      <c r="A276" s="7"/>
    </row>
    <row r="277" spans="1:1" x14ac:dyDescent="0.3">
      <c r="A277" s="7"/>
    </row>
    <row r="278" spans="1:1" x14ac:dyDescent="0.3">
      <c r="A278" s="7"/>
    </row>
    <row r="279" spans="1:1" x14ac:dyDescent="0.3">
      <c r="A279" s="7"/>
    </row>
    <row r="280" spans="1:1" x14ac:dyDescent="0.3">
      <c r="A280" s="7"/>
    </row>
    <row r="281" spans="1:1" x14ac:dyDescent="0.3">
      <c r="A281" s="7"/>
    </row>
    <row r="282" spans="1:1" x14ac:dyDescent="0.3">
      <c r="A282" s="7"/>
    </row>
    <row r="283" spans="1:1" x14ac:dyDescent="0.3">
      <c r="A283" s="7"/>
    </row>
    <row r="284" spans="1:1" x14ac:dyDescent="0.3">
      <c r="A284" s="7"/>
    </row>
    <row r="285" spans="1:1" x14ac:dyDescent="0.3">
      <c r="A285" s="7"/>
    </row>
    <row r="286" spans="1:1" x14ac:dyDescent="0.3">
      <c r="A286" s="7"/>
    </row>
    <row r="287" spans="1:1" x14ac:dyDescent="0.3">
      <c r="A287" s="7"/>
    </row>
    <row r="288" spans="1:1" x14ac:dyDescent="0.3">
      <c r="A288" s="7"/>
    </row>
    <row r="289" spans="1:1" x14ac:dyDescent="0.3">
      <c r="A289" s="7"/>
    </row>
    <row r="290" spans="1:1" x14ac:dyDescent="0.3">
      <c r="A290" s="7"/>
    </row>
    <row r="291" spans="1:1" x14ac:dyDescent="0.3">
      <c r="A291" s="7"/>
    </row>
    <row r="292" spans="1:1" x14ac:dyDescent="0.3">
      <c r="A292" s="7"/>
    </row>
    <row r="293" spans="1:1" x14ac:dyDescent="0.3">
      <c r="A293" s="7"/>
    </row>
    <row r="294" spans="1:1" x14ac:dyDescent="0.3">
      <c r="A294" s="7"/>
    </row>
    <row r="295" spans="1:1" x14ac:dyDescent="0.3">
      <c r="A295" s="7"/>
    </row>
    <row r="296" spans="1:1" x14ac:dyDescent="0.3">
      <c r="A296" s="7"/>
    </row>
    <row r="297" spans="1:1" x14ac:dyDescent="0.3">
      <c r="A297" s="7"/>
    </row>
    <row r="298" spans="1:1" x14ac:dyDescent="0.3">
      <c r="A298" s="7"/>
    </row>
    <row r="299" spans="1:1" x14ac:dyDescent="0.3">
      <c r="A299" s="7"/>
    </row>
    <row r="300" spans="1:1" x14ac:dyDescent="0.3">
      <c r="A300" s="7"/>
    </row>
    <row r="301" spans="1:1" x14ac:dyDescent="0.3">
      <c r="A301" s="7"/>
    </row>
    <row r="302" spans="1:1" x14ac:dyDescent="0.3">
      <c r="A302" s="7"/>
    </row>
    <row r="303" spans="1:1" x14ac:dyDescent="0.3">
      <c r="A303" s="7"/>
    </row>
    <row r="304" spans="1:1" x14ac:dyDescent="0.3">
      <c r="A304" s="7"/>
    </row>
    <row r="305" spans="1:1" x14ac:dyDescent="0.3">
      <c r="A305" s="7"/>
    </row>
    <row r="306" spans="1:1" x14ac:dyDescent="0.3">
      <c r="A306" s="7"/>
    </row>
    <row r="307" spans="1:1" x14ac:dyDescent="0.3">
      <c r="A307" s="7"/>
    </row>
    <row r="308" spans="1:1" x14ac:dyDescent="0.3">
      <c r="A308" s="7"/>
    </row>
    <row r="309" spans="1:1" x14ac:dyDescent="0.3">
      <c r="A309" s="7"/>
    </row>
    <row r="310" spans="1:1" x14ac:dyDescent="0.3">
      <c r="A310" s="7"/>
    </row>
    <row r="311" spans="1:1" x14ac:dyDescent="0.3">
      <c r="A311" s="7"/>
    </row>
    <row r="312" spans="1:1" x14ac:dyDescent="0.3">
      <c r="A312" s="7"/>
    </row>
    <row r="313" spans="1:1" x14ac:dyDescent="0.3">
      <c r="A313" s="7"/>
    </row>
    <row r="314" spans="1:1" x14ac:dyDescent="0.3">
      <c r="A314" s="7"/>
    </row>
    <row r="315" spans="1:1" x14ac:dyDescent="0.3">
      <c r="A315" s="7"/>
    </row>
    <row r="316" spans="1:1" x14ac:dyDescent="0.3">
      <c r="A316" s="7"/>
    </row>
    <row r="317" spans="1:1" x14ac:dyDescent="0.3">
      <c r="A317" s="7"/>
    </row>
    <row r="318" spans="1:1" x14ac:dyDescent="0.3">
      <c r="A318" s="7"/>
    </row>
    <row r="319" spans="1:1" x14ac:dyDescent="0.3">
      <c r="A319" s="7"/>
    </row>
    <row r="320" spans="1:1" x14ac:dyDescent="0.3">
      <c r="A320" s="7"/>
    </row>
    <row r="321" spans="1:1" x14ac:dyDescent="0.3">
      <c r="A321" s="7"/>
    </row>
    <row r="322" spans="1:1" x14ac:dyDescent="0.3">
      <c r="A322" s="7"/>
    </row>
    <row r="323" spans="1:1" x14ac:dyDescent="0.3">
      <c r="A323" s="7"/>
    </row>
    <row r="324" spans="1:1" x14ac:dyDescent="0.3">
      <c r="A324" s="7"/>
    </row>
    <row r="325" spans="1:1" x14ac:dyDescent="0.3">
      <c r="A325" s="7"/>
    </row>
    <row r="326" spans="1:1" x14ac:dyDescent="0.3">
      <c r="A326" s="7"/>
    </row>
    <row r="327" spans="1:1" x14ac:dyDescent="0.3">
      <c r="A327" s="7"/>
    </row>
    <row r="328" spans="1:1" x14ac:dyDescent="0.3">
      <c r="A328" s="7"/>
    </row>
    <row r="329" spans="1:1" x14ac:dyDescent="0.3">
      <c r="A329" s="7"/>
    </row>
    <row r="330" spans="1:1" x14ac:dyDescent="0.3">
      <c r="A330" s="7"/>
    </row>
    <row r="331" spans="1:1" x14ac:dyDescent="0.3">
      <c r="A331" s="7"/>
    </row>
    <row r="332" spans="1:1" x14ac:dyDescent="0.3">
      <c r="A332" s="7"/>
    </row>
    <row r="333" spans="1:1" x14ac:dyDescent="0.3">
      <c r="A333" s="7"/>
    </row>
    <row r="334" spans="1:1" x14ac:dyDescent="0.3">
      <c r="A334" s="7"/>
    </row>
    <row r="335" spans="1:1" x14ac:dyDescent="0.3">
      <c r="A335" s="7"/>
    </row>
    <row r="336" spans="1:1" x14ac:dyDescent="0.3">
      <c r="A336" s="7"/>
    </row>
    <row r="337" spans="1:1" x14ac:dyDescent="0.3">
      <c r="A337" s="7"/>
    </row>
    <row r="338" spans="1:1" x14ac:dyDescent="0.3">
      <c r="A338" s="7"/>
    </row>
    <row r="339" spans="1:1" x14ac:dyDescent="0.3">
      <c r="A339" s="7"/>
    </row>
    <row r="340" spans="1:1" x14ac:dyDescent="0.3">
      <c r="A340" s="7"/>
    </row>
    <row r="341" spans="1:1" x14ac:dyDescent="0.3">
      <c r="A341" s="7"/>
    </row>
    <row r="342" spans="1:1" x14ac:dyDescent="0.3">
      <c r="A342" s="7"/>
    </row>
    <row r="343" spans="1:1" x14ac:dyDescent="0.3">
      <c r="A343" s="7"/>
    </row>
    <row r="344" spans="1:1" x14ac:dyDescent="0.3">
      <c r="A344" s="7"/>
    </row>
    <row r="345" spans="1:1" x14ac:dyDescent="0.3">
      <c r="A345" s="7"/>
    </row>
    <row r="346" spans="1:1" x14ac:dyDescent="0.3">
      <c r="A346" s="7"/>
    </row>
    <row r="347" spans="1:1" x14ac:dyDescent="0.3">
      <c r="A347" s="7"/>
    </row>
    <row r="348" spans="1:1" x14ac:dyDescent="0.3">
      <c r="A348" s="7"/>
    </row>
    <row r="349" spans="1:1" x14ac:dyDescent="0.3">
      <c r="A349" s="7"/>
    </row>
    <row r="350" spans="1:1" x14ac:dyDescent="0.3">
      <c r="A350" s="7"/>
    </row>
    <row r="351" spans="1:1" x14ac:dyDescent="0.3">
      <c r="A351" s="7"/>
    </row>
    <row r="352" spans="1:1" x14ac:dyDescent="0.3">
      <c r="A352" s="7"/>
    </row>
    <row r="353" spans="1:1" x14ac:dyDescent="0.3">
      <c r="A353" s="7"/>
    </row>
    <row r="354" spans="1:1" x14ac:dyDescent="0.3">
      <c r="A354" s="7"/>
    </row>
    <row r="355" spans="1:1" x14ac:dyDescent="0.3">
      <c r="A355" s="7"/>
    </row>
    <row r="356" spans="1:1" x14ac:dyDescent="0.3">
      <c r="A356" s="7"/>
    </row>
    <row r="357" spans="1:1" x14ac:dyDescent="0.3">
      <c r="A357" s="7"/>
    </row>
    <row r="358" spans="1:1" x14ac:dyDescent="0.3">
      <c r="A358" s="7"/>
    </row>
    <row r="359" spans="1:1" x14ac:dyDescent="0.3">
      <c r="A359" s="7"/>
    </row>
    <row r="360" spans="1:1" x14ac:dyDescent="0.3">
      <c r="A360" s="7"/>
    </row>
    <row r="361" spans="1:1" x14ac:dyDescent="0.3">
      <c r="A361" s="7"/>
    </row>
    <row r="362" spans="1:1" x14ac:dyDescent="0.3">
      <c r="A362" s="7"/>
    </row>
    <row r="363" spans="1:1" x14ac:dyDescent="0.3">
      <c r="A363" s="7"/>
    </row>
    <row r="364" spans="1:1" x14ac:dyDescent="0.3">
      <c r="A364" s="7"/>
    </row>
    <row r="365" spans="1:1" x14ac:dyDescent="0.3">
      <c r="A365" s="7"/>
    </row>
    <row r="366" spans="1:1" x14ac:dyDescent="0.3">
      <c r="A366" s="7"/>
    </row>
    <row r="367" spans="1:1" x14ac:dyDescent="0.3">
      <c r="A367" s="7"/>
    </row>
    <row r="368" spans="1:1" x14ac:dyDescent="0.3">
      <c r="A368" s="7"/>
    </row>
    <row r="369" spans="1:1" x14ac:dyDescent="0.3">
      <c r="A369" s="7"/>
    </row>
    <row r="370" spans="1:1" x14ac:dyDescent="0.3">
      <c r="A370" s="7"/>
    </row>
    <row r="371" spans="1:1" x14ac:dyDescent="0.3">
      <c r="A371" s="7"/>
    </row>
    <row r="372" spans="1:1" x14ac:dyDescent="0.3">
      <c r="A372" s="7"/>
    </row>
    <row r="373" spans="1:1" x14ac:dyDescent="0.3">
      <c r="A373" s="7"/>
    </row>
    <row r="374" spans="1:1" x14ac:dyDescent="0.3">
      <c r="A374" s="7"/>
    </row>
    <row r="375" spans="1:1" x14ac:dyDescent="0.3">
      <c r="A375" s="7"/>
    </row>
    <row r="376" spans="1:1" x14ac:dyDescent="0.3">
      <c r="A376" s="7"/>
    </row>
    <row r="377" spans="1:1" x14ac:dyDescent="0.3">
      <c r="A377" s="7"/>
    </row>
    <row r="378" spans="1:1" x14ac:dyDescent="0.3">
      <c r="A378" s="7"/>
    </row>
    <row r="379" spans="1:1" x14ac:dyDescent="0.3">
      <c r="A379" s="7"/>
    </row>
    <row r="380" spans="1:1" x14ac:dyDescent="0.3">
      <c r="A380" s="7"/>
    </row>
    <row r="381" spans="1:1" x14ac:dyDescent="0.3">
      <c r="A381" s="7"/>
    </row>
    <row r="382" spans="1:1" x14ac:dyDescent="0.3">
      <c r="A382" s="7"/>
    </row>
    <row r="383" spans="1:1" x14ac:dyDescent="0.3">
      <c r="A383" s="7"/>
    </row>
    <row r="384" spans="1:1" x14ac:dyDescent="0.3">
      <c r="A384" s="7"/>
    </row>
    <row r="385" spans="1:1" x14ac:dyDescent="0.3">
      <c r="A385" s="7"/>
    </row>
    <row r="386" spans="1:1" x14ac:dyDescent="0.3">
      <c r="A386" s="7"/>
    </row>
    <row r="387" spans="1:1" x14ac:dyDescent="0.3">
      <c r="A387" s="7"/>
    </row>
    <row r="388" spans="1:1" x14ac:dyDescent="0.3">
      <c r="A388" s="7"/>
    </row>
    <row r="389" spans="1:1" x14ac:dyDescent="0.3">
      <c r="A389" s="7"/>
    </row>
    <row r="390" spans="1:1" x14ac:dyDescent="0.3">
      <c r="A390" s="7"/>
    </row>
    <row r="391" spans="1:1" x14ac:dyDescent="0.3">
      <c r="A391" s="7"/>
    </row>
    <row r="392" spans="1:1" x14ac:dyDescent="0.3">
      <c r="A392" s="7"/>
    </row>
    <row r="393" spans="1:1" x14ac:dyDescent="0.3">
      <c r="A393" s="7"/>
    </row>
    <row r="394" spans="1:1" x14ac:dyDescent="0.3">
      <c r="A394" s="7"/>
    </row>
    <row r="395" spans="1:1" x14ac:dyDescent="0.3">
      <c r="A395" s="7"/>
    </row>
    <row r="396" spans="1:1" x14ac:dyDescent="0.3">
      <c r="A396" s="7"/>
    </row>
    <row r="397" spans="1:1" x14ac:dyDescent="0.3">
      <c r="A397" s="7"/>
    </row>
    <row r="398" spans="1:1" x14ac:dyDescent="0.3">
      <c r="A398" s="7"/>
    </row>
    <row r="399" spans="1:1" x14ac:dyDescent="0.3">
      <c r="A399" s="7"/>
    </row>
    <row r="400" spans="1:1" x14ac:dyDescent="0.3">
      <c r="A400" s="7"/>
    </row>
    <row r="401" spans="1:1" x14ac:dyDescent="0.3">
      <c r="A401" s="7"/>
    </row>
    <row r="402" spans="1:1" x14ac:dyDescent="0.3">
      <c r="A402" s="7"/>
    </row>
    <row r="403" spans="1:1" x14ac:dyDescent="0.3">
      <c r="A403" s="7"/>
    </row>
    <row r="404" spans="1:1" x14ac:dyDescent="0.3">
      <c r="A404" s="7"/>
    </row>
    <row r="405" spans="1:1" x14ac:dyDescent="0.3">
      <c r="A405" s="7"/>
    </row>
    <row r="406" spans="1:1" x14ac:dyDescent="0.3">
      <c r="A406" s="7"/>
    </row>
    <row r="407" spans="1:1" x14ac:dyDescent="0.3">
      <c r="A407" s="7"/>
    </row>
    <row r="408" spans="1:1" x14ac:dyDescent="0.3">
      <c r="A408" s="7"/>
    </row>
    <row r="409" spans="1:1" x14ac:dyDescent="0.3">
      <c r="A409" s="7"/>
    </row>
    <row r="410" spans="1:1" x14ac:dyDescent="0.3">
      <c r="A410" s="7"/>
    </row>
    <row r="411" spans="1:1" x14ac:dyDescent="0.3">
      <c r="A411" s="7"/>
    </row>
    <row r="412" spans="1:1" x14ac:dyDescent="0.3">
      <c r="A412" s="7"/>
    </row>
    <row r="413" spans="1:1" x14ac:dyDescent="0.3">
      <c r="A413" s="7"/>
    </row>
    <row r="414" spans="1:1" x14ac:dyDescent="0.3">
      <c r="A414" s="7"/>
    </row>
    <row r="415" spans="1:1" x14ac:dyDescent="0.3">
      <c r="A415" s="7"/>
    </row>
    <row r="416" spans="1:1" x14ac:dyDescent="0.3">
      <c r="A416" s="7"/>
    </row>
    <row r="417" spans="1:1" x14ac:dyDescent="0.3">
      <c r="A417" s="7"/>
    </row>
    <row r="418" spans="1:1" x14ac:dyDescent="0.3">
      <c r="A418" s="7"/>
    </row>
    <row r="419" spans="1:1" x14ac:dyDescent="0.3">
      <c r="A419" s="7"/>
    </row>
    <row r="420" spans="1:1" x14ac:dyDescent="0.3">
      <c r="A420" s="7"/>
    </row>
    <row r="421" spans="1:1" x14ac:dyDescent="0.3">
      <c r="A421" s="7"/>
    </row>
    <row r="422" spans="1:1" x14ac:dyDescent="0.3">
      <c r="A422" s="7"/>
    </row>
    <row r="423" spans="1:1" x14ac:dyDescent="0.3">
      <c r="A423" s="7"/>
    </row>
    <row r="424" spans="1:1" x14ac:dyDescent="0.3">
      <c r="A424" s="7"/>
    </row>
    <row r="425" spans="1:1" x14ac:dyDescent="0.3">
      <c r="A425" s="7"/>
    </row>
    <row r="426" spans="1:1" x14ac:dyDescent="0.3">
      <c r="A426" s="7"/>
    </row>
    <row r="427" spans="1:1" x14ac:dyDescent="0.3">
      <c r="A427" s="7"/>
    </row>
    <row r="428" spans="1:1" x14ac:dyDescent="0.3">
      <c r="A428" s="7"/>
    </row>
    <row r="429" spans="1:1" x14ac:dyDescent="0.3">
      <c r="A429" s="7"/>
    </row>
    <row r="430" spans="1:1" x14ac:dyDescent="0.3">
      <c r="A430" s="7"/>
    </row>
    <row r="431" spans="1:1" x14ac:dyDescent="0.3">
      <c r="A431" s="7"/>
    </row>
    <row r="432" spans="1:1" x14ac:dyDescent="0.3">
      <c r="A432" s="7"/>
    </row>
    <row r="433" spans="1:1" x14ac:dyDescent="0.3">
      <c r="A433" s="7"/>
    </row>
    <row r="434" spans="1:1" x14ac:dyDescent="0.3">
      <c r="A434" s="7"/>
    </row>
    <row r="435" spans="1:1" x14ac:dyDescent="0.3">
      <c r="A435" s="7"/>
    </row>
    <row r="436" spans="1:1" x14ac:dyDescent="0.3">
      <c r="A436" s="7"/>
    </row>
    <row r="437" spans="1:1" x14ac:dyDescent="0.3">
      <c r="A437" s="7"/>
    </row>
    <row r="438" spans="1:1" x14ac:dyDescent="0.3">
      <c r="A438" s="7"/>
    </row>
    <row r="439" spans="1:1" x14ac:dyDescent="0.3">
      <c r="A439" s="7"/>
    </row>
    <row r="440" spans="1:1" x14ac:dyDescent="0.3">
      <c r="A440" s="7"/>
    </row>
    <row r="441" spans="1:1" x14ac:dyDescent="0.3">
      <c r="A441" s="7"/>
    </row>
    <row r="442" spans="1:1" x14ac:dyDescent="0.3">
      <c r="A442" s="7"/>
    </row>
    <row r="443" spans="1:1" x14ac:dyDescent="0.3">
      <c r="A443" s="7"/>
    </row>
    <row r="444" spans="1:1" x14ac:dyDescent="0.3">
      <c r="A444" s="7"/>
    </row>
    <row r="445" spans="1:1" x14ac:dyDescent="0.3">
      <c r="A445" s="7"/>
    </row>
    <row r="446" spans="1:1" x14ac:dyDescent="0.3">
      <c r="A446" s="7"/>
    </row>
    <row r="447" spans="1:1" x14ac:dyDescent="0.3">
      <c r="A447" s="7"/>
    </row>
    <row r="448" spans="1:1" x14ac:dyDescent="0.3">
      <c r="A448" s="7"/>
    </row>
    <row r="449" spans="1:1" x14ac:dyDescent="0.3">
      <c r="A449" s="7"/>
    </row>
    <row r="450" spans="1:1" x14ac:dyDescent="0.3">
      <c r="A450" s="7"/>
    </row>
    <row r="451" spans="1:1" x14ac:dyDescent="0.3">
      <c r="A451" s="7"/>
    </row>
    <row r="452" spans="1:1" x14ac:dyDescent="0.3">
      <c r="A452" s="7"/>
    </row>
    <row r="453" spans="1:1" x14ac:dyDescent="0.3">
      <c r="A453" s="7"/>
    </row>
    <row r="454" spans="1:1" x14ac:dyDescent="0.3">
      <c r="A454" s="7"/>
    </row>
    <row r="455" spans="1:1" x14ac:dyDescent="0.3">
      <c r="A455" s="7"/>
    </row>
    <row r="456" spans="1:1" x14ac:dyDescent="0.3">
      <c r="A456" s="7"/>
    </row>
    <row r="457" spans="1:1" x14ac:dyDescent="0.3">
      <c r="A457" s="7"/>
    </row>
    <row r="458" spans="1:1" x14ac:dyDescent="0.3">
      <c r="A458" s="7"/>
    </row>
    <row r="459" spans="1:1" x14ac:dyDescent="0.3">
      <c r="A459" s="7"/>
    </row>
    <row r="460" spans="1:1" x14ac:dyDescent="0.3">
      <c r="A460" s="7"/>
    </row>
    <row r="461" spans="1:1" x14ac:dyDescent="0.3">
      <c r="A461" s="7"/>
    </row>
    <row r="462" spans="1:1" x14ac:dyDescent="0.3">
      <c r="A462" s="7"/>
    </row>
    <row r="463" spans="1:1" x14ac:dyDescent="0.3">
      <c r="A463" s="7"/>
    </row>
    <row r="464" spans="1:1" x14ac:dyDescent="0.3">
      <c r="A464" s="7"/>
    </row>
    <row r="465" spans="1:1" x14ac:dyDescent="0.3">
      <c r="A465" s="7"/>
    </row>
    <row r="466" spans="1:1" x14ac:dyDescent="0.3">
      <c r="A466" s="7"/>
    </row>
    <row r="467" spans="1:1" x14ac:dyDescent="0.3">
      <c r="A467" s="7"/>
    </row>
    <row r="468" spans="1:1" x14ac:dyDescent="0.3">
      <c r="A468" s="7"/>
    </row>
    <row r="469" spans="1:1" x14ac:dyDescent="0.3">
      <c r="A469" s="7"/>
    </row>
    <row r="470" spans="1:1" x14ac:dyDescent="0.3">
      <c r="A470" s="7"/>
    </row>
    <row r="471" spans="1:1" x14ac:dyDescent="0.3">
      <c r="A471" s="7"/>
    </row>
    <row r="472" spans="1:1" x14ac:dyDescent="0.3">
      <c r="A472" s="7"/>
    </row>
    <row r="473" spans="1:1" x14ac:dyDescent="0.3">
      <c r="A473" s="7"/>
    </row>
    <row r="474" spans="1:1" x14ac:dyDescent="0.3">
      <c r="A474" s="7"/>
    </row>
    <row r="475" spans="1:1" x14ac:dyDescent="0.3">
      <c r="A475" s="7"/>
    </row>
    <row r="476" spans="1:1" x14ac:dyDescent="0.3">
      <c r="A476" s="7"/>
    </row>
    <row r="477" spans="1:1" x14ac:dyDescent="0.3">
      <c r="A477" s="7"/>
    </row>
    <row r="478" spans="1:1" x14ac:dyDescent="0.3">
      <c r="A478" s="7"/>
    </row>
    <row r="479" spans="1:1" x14ac:dyDescent="0.3">
      <c r="A479" s="7"/>
    </row>
    <row r="480" spans="1:1" x14ac:dyDescent="0.3">
      <c r="A480" s="7"/>
    </row>
    <row r="481" spans="1:1" x14ac:dyDescent="0.3">
      <c r="A481" s="7"/>
    </row>
    <row r="482" spans="1:1" x14ac:dyDescent="0.3">
      <c r="A482" s="7"/>
    </row>
    <row r="483" spans="1:1" x14ac:dyDescent="0.3">
      <c r="A483" s="7"/>
    </row>
    <row r="484" spans="1:1" x14ac:dyDescent="0.3">
      <c r="A484" s="7"/>
    </row>
    <row r="485" spans="1:1" x14ac:dyDescent="0.3">
      <c r="A485" s="7"/>
    </row>
    <row r="486" spans="1:1" x14ac:dyDescent="0.3">
      <c r="A486" s="7"/>
    </row>
    <row r="487" spans="1:1" x14ac:dyDescent="0.3">
      <c r="A487" s="7"/>
    </row>
    <row r="488" spans="1:1" x14ac:dyDescent="0.3">
      <c r="A488" s="7"/>
    </row>
    <row r="489" spans="1:1" x14ac:dyDescent="0.3">
      <c r="A489" s="7"/>
    </row>
    <row r="490" spans="1:1" x14ac:dyDescent="0.3">
      <c r="A490" s="7"/>
    </row>
    <row r="491" spans="1:1" x14ac:dyDescent="0.3">
      <c r="A491" s="7"/>
    </row>
    <row r="492" spans="1:1" x14ac:dyDescent="0.3">
      <c r="A492" s="7"/>
    </row>
    <row r="493" spans="1:1" x14ac:dyDescent="0.3">
      <c r="A493" s="7"/>
    </row>
    <row r="494" spans="1:1" x14ac:dyDescent="0.3">
      <c r="A494" s="7"/>
    </row>
    <row r="495" spans="1:1" x14ac:dyDescent="0.3">
      <c r="A495" s="7"/>
    </row>
    <row r="496" spans="1:1" x14ac:dyDescent="0.3">
      <c r="A496" s="7"/>
    </row>
    <row r="497" spans="1:1" x14ac:dyDescent="0.3">
      <c r="A497" s="7"/>
    </row>
    <row r="498" spans="1:1" x14ac:dyDescent="0.3">
      <c r="A498" s="7"/>
    </row>
    <row r="499" spans="1:1" x14ac:dyDescent="0.3">
      <c r="A499" s="7"/>
    </row>
    <row r="500" spans="1:1" x14ac:dyDescent="0.3">
      <c r="A500" s="7"/>
    </row>
    <row r="501" spans="1:1" x14ac:dyDescent="0.3">
      <c r="A501" s="7"/>
    </row>
    <row r="502" spans="1:1" x14ac:dyDescent="0.3">
      <c r="A502" s="7"/>
    </row>
    <row r="503" spans="1:1" x14ac:dyDescent="0.3">
      <c r="A503" s="7"/>
    </row>
    <row r="504" spans="1:1" x14ac:dyDescent="0.3">
      <c r="A504" s="7"/>
    </row>
    <row r="505" spans="1:1" x14ac:dyDescent="0.3">
      <c r="A505" s="7"/>
    </row>
    <row r="506" spans="1:1" x14ac:dyDescent="0.3">
      <c r="A506" s="7"/>
    </row>
    <row r="507" spans="1:1" x14ac:dyDescent="0.3">
      <c r="A507" s="7"/>
    </row>
    <row r="508" spans="1:1" x14ac:dyDescent="0.3">
      <c r="A508" s="7"/>
    </row>
    <row r="509" spans="1:1" x14ac:dyDescent="0.3">
      <c r="A509" s="7"/>
    </row>
    <row r="510" spans="1:1" x14ac:dyDescent="0.3">
      <c r="A510" s="7"/>
    </row>
    <row r="511" spans="1:1" x14ac:dyDescent="0.3">
      <c r="A511" s="7"/>
    </row>
    <row r="512" spans="1:1" x14ac:dyDescent="0.3">
      <c r="A512" s="7"/>
    </row>
    <row r="513" spans="1:1" x14ac:dyDescent="0.3">
      <c r="A513" s="7"/>
    </row>
    <row r="514" spans="1:1" x14ac:dyDescent="0.3">
      <c r="A514" s="7"/>
    </row>
    <row r="515" spans="1:1" x14ac:dyDescent="0.3">
      <c r="A515" s="7"/>
    </row>
    <row r="516" spans="1:1" x14ac:dyDescent="0.3">
      <c r="A516" s="7"/>
    </row>
    <row r="517" spans="1:1" x14ac:dyDescent="0.3">
      <c r="A517" s="7"/>
    </row>
    <row r="518" spans="1:1" x14ac:dyDescent="0.3">
      <c r="A518" s="7"/>
    </row>
    <row r="519" spans="1:1" x14ac:dyDescent="0.3">
      <c r="A519" s="7"/>
    </row>
    <row r="520" spans="1:1" x14ac:dyDescent="0.3">
      <c r="A520" s="7"/>
    </row>
    <row r="521" spans="1:1" x14ac:dyDescent="0.3">
      <c r="A521" s="7"/>
    </row>
    <row r="522" spans="1:1" x14ac:dyDescent="0.3">
      <c r="A522" s="7"/>
    </row>
    <row r="523" spans="1:1" x14ac:dyDescent="0.3">
      <c r="A523" s="7"/>
    </row>
    <row r="524" spans="1:1" x14ac:dyDescent="0.3">
      <c r="A524" s="7"/>
    </row>
    <row r="525" spans="1:1" x14ac:dyDescent="0.3">
      <c r="A525" s="7"/>
    </row>
    <row r="526" spans="1:1" x14ac:dyDescent="0.3">
      <c r="A526" s="7"/>
    </row>
    <row r="527" spans="1:1" x14ac:dyDescent="0.3">
      <c r="A527" s="7"/>
    </row>
    <row r="528" spans="1:1" x14ac:dyDescent="0.3">
      <c r="A528" s="7"/>
    </row>
    <row r="529" spans="1:1" x14ac:dyDescent="0.3">
      <c r="A529" s="7"/>
    </row>
    <row r="530" spans="1:1" x14ac:dyDescent="0.3">
      <c r="A530" s="7"/>
    </row>
    <row r="531" spans="1:1" x14ac:dyDescent="0.3">
      <c r="A531" s="7"/>
    </row>
    <row r="532" spans="1:1" x14ac:dyDescent="0.3">
      <c r="A532" s="7"/>
    </row>
    <row r="533" spans="1:1" x14ac:dyDescent="0.3">
      <c r="A533" s="7"/>
    </row>
    <row r="534" spans="1:1" x14ac:dyDescent="0.3">
      <c r="A534" s="7"/>
    </row>
    <row r="535" spans="1:1" x14ac:dyDescent="0.3">
      <c r="A535" s="7"/>
    </row>
    <row r="536" spans="1:1" x14ac:dyDescent="0.3">
      <c r="A536" s="7"/>
    </row>
    <row r="537" spans="1:1" x14ac:dyDescent="0.3">
      <c r="A537" s="7"/>
    </row>
    <row r="538" spans="1:1" x14ac:dyDescent="0.3">
      <c r="A538" s="7"/>
    </row>
    <row r="539" spans="1:1" x14ac:dyDescent="0.3">
      <c r="A539" s="7"/>
    </row>
    <row r="540" spans="1:1" x14ac:dyDescent="0.3">
      <c r="A540" s="7"/>
    </row>
    <row r="541" spans="1:1" x14ac:dyDescent="0.3">
      <c r="A541" s="7"/>
    </row>
    <row r="542" spans="1:1" x14ac:dyDescent="0.3">
      <c r="A542" s="7"/>
    </row>
    <row r="543" spans="1:1" x14ac:dyDescent="0.3">
      <c r="A543" s="7"/>
    </row>
    <row r="544" spans="1:1" x14ac:dyDescent="0.3">
      <c r="A544" s="7"/>
    </row>
    <row r="545" spans="1:1" x14ac:dyDescent="0.3">
      <c r="A545" s="7"/>
    </row>
    <row r="546" spans="1:1" x14ac:dyDescent="0.3">
      <c r="A546" s="7"/>
    </row>
    <row r="547" spans="1:1" x14ac:dyDescent="0.3">
      <c r="A547" s="7"/>
    </row>
    <row r="548" spans="1:1" x14ac:dyDescent="0.3">
      <c r="A548" s="7"/>
    </row>
    <row r="549" spans="1:1" x14ac:dyDescent="0.3">
      <c r="A549" s="7"/>
    </row>
    <row r="550" spans="1:1" x14ac:dyDescent="0.3">
      <c r="A550" s="7"/>
    </row>
    <row r="551" spans="1:1" x14ac:dyDescent="0.3">
      <c r="A551" s="7"/>
    </row>
    <row r="552" spans="1:1" x14ac:dyDescent="0.3">
      <c r="A552" s="7"/>
    </row>
    <row r="553" spans="1:1" x14ac:dyDescent="0.3">
      <c r="A553" s="7"/>
    </row>
    <row r="554" spans="1:1" x14ac:dyDescent="0.3">
      <c r="A554" s="7"/>
    </row>
    <row r="555" spans="1:1" x14ac:dyDescent="0.3">
      <c r="A555" s="7"/>
    </row>
    <row r="556" spans="1:1" x14ac:dyDescent="0.3">
      <c r="A556" s="7"/>
    </row>
    <row r="557" spans="1:1" x14ac:dyDescent="0.3">
      <c r="A557" s="7"/>
    </row>
    <row r="558" spans="1:1" x14ac:dyDescent="0.3">
      <c r="A558" s="7"/>
    </row>
    <row r="559" spans="1:1" x14ac:dyDescent="0.3">
      <c r="A559" s="7"/>
    </row>
    <row r="560" spans="1:1" x14ac:dyDescent="0.3">
      <c r="A560" s="7"/>
    </row>
    <row r="561" spans="1:1" x14ac:dyDescent="0.3">
      <c r="A561" s="7"/>
    </row>
    <row r="562" spans="1:1" x14ac:dyDescent="0.3">
      <c r="A562" s="7"/>
    </row>
    <row r="563" spans="1:1" x14ac:dyDescent="0.3">
      <c r="A563" s="7"/>
    </row>
    <row r="564" spans="1:1" x14ac:dyDescent="0.3">
      <c r="A564" s="7"/>
    </row>
    <row r="565" spans="1:1" x14ac:dyDescent="0.3">
      <c r="A565" s="7"/>
    </row>
    <row r="566" spans="1:1" x14ac:dyDescent="0.3">
      <c r="A566" s="7"/>
    </row>
    <row r="567" spans="1:1" x14ac:dyDescent="0.3">
      <c r="A567" s="7"/>
    </row>
    <row r="568" spans="1:1" x14ac:dyDescent="0.3">
      <c r="A568" s="7"/>
    </row>
    <row r="569" spans="1:1" x14ac:dyDescent="0.3">
      <c r="A569" s="7"/>
    </row>
    <row r="570" spans="1:1" x14ac:dyDescent="0.3">
      <c r="A570" s="7"/>
    </row>
    <row r="571" spans="1:1" x14ac:dyDescent="0.3">
      <c r="A571" s="7"/>
    </row>
    <row r="572" spans="1:1" x14ac:dyDescent="0.3">
      <c r="A572" s="7"/>
    </row>
    <row r="573" spans="1:1" x14ac:dyDescent="0.3">
      <c r="A573" s="7"/>
    </row>
    <row r="574" spans="1:1" x14ac:dyDescent="0.3">
      <c r="A574" s="7"/>
    </row>
    <row r="575" spans="1:1" x14ac:dyDescent="0.3">
      <c r="A575" s="7"/>
    </row>
    <row r="576" spans="1:1" x14ac:dyDescent="0.3">
      <c r="A576" s="7"/>
    </row>
    <row r="577" spans="1:1" x14ac:dyDescent="0.3">
      <c r="A577" s="7"/>
    </row>
    <row r="578" spans="1:1" x14ac:dyDescent="0.3">
      <c r="A578" s="7"/>
    </row>
    <row r="579" spans="1:1" x14ac:dyDescent="0.3">
      <c r="A579" s="7"/>
    </row>
    <row r="580" spans="1:1" x14ac:dyDescent="0.3">
      <c r="A580" s="7"/>
    </row>
    <row r="581" spans="1:1" x14ac:dyDescent="0.3">
      <c r="A581" s="7"/>
    </row>
    <row r="582" spans="1:1" x14ac:dyDescent="0.3">
      <c r="A582" s="7"/>
    </row>
    <row r="583" spans="1:1" x14ac:dyDescent="0.3">
      <c r="A583" s="7"/>
    </row>
    <row r="584" spans="1:1" x14ac:dyDescent="0.3">
      <c r="A584" s="7"/>
    </row>
    <row r="585" spans="1:1" x14ac:dyDescent="0.3">
      <c r="A585" s="7"/>
    </row>
    <row r="586" spans="1:1" x14ac:dyDescent="0.3">
      <c r="A586" s="7"/>
    </row>
    <row r="587" spans="1:1" x14ac:dyDescent="0.3">
      <c r="A587" s="7"/>
    </row>
    <row r="588" spans="1:1" x14ac:dyDescent="0.3">
      <c r="A588" s="7"/>
    </row>
    <row r="589" spans="1:1" x14ac:dyDescent="0.3">
      <c r="A589" s="7"/>
    </row>
    <row r="590" spans="1:1" x14ac:dyDescent="0.3">
      <c r="A590" s="7"/>
    </row>
    <row r="591" spans="1:1" x14ac:dyDescent="0.3">
      <c r="A591" s="7"/>
    </row>
    <row r="592" spans="1:1" x14ac:dyDescent="0.3">
      <c r="A592" s="7"/>
    </row>
    <row r="593" spans="1:1" x14ac:dyDescent="0.3">
      <c r="A593" s="7"/>
    </row>
    <row r="594" spans="1:1" x14ac:dyDescent="0.3">
      <c r="A594" s="7"/>
    </row>
    <row r="595" spans="1:1" x14ac:dyDescent="0.3">
      <c r="A595" s="7"/>
    </row>
    <row r="596" spans="1:1" x14ac:dyDescent="0.3">
      <c r="A596" s="7"/>
    </row>
    <row r="597" spans="1:1" x14ac:dyDescent="0.3">
      <c r="A597" s="7"/>
    </row>
    <row r="598" spans="1:1" x14ac:dyDescent="0.3">
      <c r="A598" s="7"/>
    </row>
    <row r="599" spans="1:1" x14ac:dyDescent="0.3">
      <c r="A599" s="7"/>
    </row>
    <row r="600" spans="1:1" x14ac:dyDescent="0.3">
      <c r="A600" s="7"/>
    </row>
    <row r="601" spans="1:1" x14ac:dyDescent="0.3">
      <c r="A601" s="7"/>
    </row>
    <row r="602" spans="1:1" x14ac:dyDescent="0.3">
      <c r="A602" s="7"/>
    </row>
    <row r="603" spans="1:1" x14ac:dyDescent="0.3">
      <c r="A603" s="7"/>
    </row>
    <row r="604" spans="1:1" x14ac:dyDescent="0.3">
      <c r="A604" s="7"/>
    </row>
    <row r="605" spans="1:1" x14ac:dyDescent="0.3">
      <c r="A605" s="7"/>
    </row>
    <row r="606" spans="1:1" x14ac:dyDescent="0.3">
      <c r="A606" s="7"/>
    </row>
    <row r="607" spans="1:1" x14ac:dyDescent="0.3">
      <c r="A607" s="7"/>
    </row>
    <row r="608" spans="1:1" x14ac:dyDescent="0.3">
      <c r="A608" s="7"/>
    </row>
    <row r="609" spans="1:1" x14ac:dyDescent="0.3">
      <c r="A609" s="7"/>
    </row>
    <row r="610" spans="1:1" x14ac:dyDescent="0.3">
      <c r="A610" s="7"/>
    </row>
    <row r="611" spans="1:1" x14ac:dyDescent="0.3">
      <c r="A611" s="7"/>
    </row>
    <row r="612" spans="1:1" x14ac:dyDescent="0.3">
      <c r="A612" s="7"/>
    </row>
    <row r="613" spans="1:1" x14ac:dyDescent="0.3">
      <c r="A613" s="7"/>
    </row>
    <row r="614" spans="1:1" x14ac:dyDescent="0.3">
      <c r="A614" s="7"/>
    </row>
    <row r="615" spans="1:1" x14ac:dyDescent="0.3">
      <c r="A615" s="7"/>
    </row>
    <row r="616" spans="1:1" x14ac:dyDescent="0.3">
      <c r="A616" s="7"/>
    </row>
    <row r="617" spans="1:1" x14ac:dyDescent="0.3">
      <c r="A617" s="7"/>
    </row>
    <row r="618" spans="1:1" x14ac:dyDescent="0.3">
      <c r="A618" s="7"/>
    </row>
    <row r="619" spans="1:1" x14ac:dyDescent="0.3">
      <c r="A619" s="7"/>
    </row>
    <row r="620" spans="1:1" x14ac:dyDescent="0.3">
      <c r="A620" s="7"/>
    </row>
    <row r="621" spans="1:1" x14ac:dyDescent="0.3">
      <c r="A621" s="7"/>
    </row>
    <row r="622" spans="1:1" x14ac:dyDescent="0.3">
      <c r="A622" s="7"/>
    </row>
    <row r="623" spans="1:1" x14ac:dyDescent="0.3">
      <c r="A623" s="7"/>
    </row>
    <row r="624" spans="1:1" x14ac:dyDescent="0.3">
      <c r="A624" s="7"/>
    </row>
    <row r="625" spans="1:1" x14ac:dyDescent="0.3">
      <c r="A625" s="7"/>
    </row>
    <row r="626" spans="1:1" x14ac:dyDescent="0.3">
      <c r="A626" s="7"/>
    </row>
    <row r="627" spans="1:1" x14ac:dyDescent="0.3">
      <c r="A627" s="7"/>
    </row>
    <row r="628" spans="1:1" x14ac:dyDescent="0.3">
      <c r="A628" s="7"/>
    </row>
    <row r="629" spans="1:1" x14ac:dyDescent="0.3">
      <c r="A629" s="7"/>
    </row>
    <row r="630" spans="1:1" x14ac:dyDescent="0.3">
      <c r="A630" s="7"/>
    </row>
    <row r="631" spans="1:1" x14ac:dyDescent="0.3">
      <c r="A631" s="7"/>
    </row>
    <row r="632" spans="1:1" x14ac:dyDescent="0.3">
      <c r="A632" s="7"/>
    </row>
    <row r="633" spans="1:1" x14ac:dyDescent="0.3">
      <c r="A633" s="7"/>
    </row>
    <row r="634" spans="1:1" x14ac:dyDescent="0.3">
      <c r="A634" s="7"/>
    </row>
    <row r="635" spans="1:1" x14ac:dyDescent="0.3">
      <c r="A635" s="7"/>
    </row>
    <row r="636" spans="1:1" x14ac:dyDescent="0.3">
      <c r="A636" s="7"/>
    </row>
    <row r="637" spans="1:1" x14ac:dyDescent="0.3">
      <c r="A637" s="7"/>
    </row>
    <row r="638" spans="1:1" x14ac:dyDescent="0.3">
      <c r="A638" s="7"/>
    </row>
    <row r="639" spans="1:1" x14ac:dyDescent="0.3">
      <c r="A639" s="7"/>
    </row>
    <row r="640" spans="1:1" x14ac:dyDescent="0.3">
      <c r="A640" s="7"/>
    </row>
    <row r="641" spans="1:1" x14ac:dyDescent="0.3">
      <c r="A641" s="7"/>
    </row>
    <row r="642" spans="1:1" x14ac:dyDescent="0.3">
      <c r="A642" s="7"/>
    </row>
    <row r="643" spans="1:1" x14ac:dyDescent="0.3">
      <c r="A643" s="7"/>
    </row>
    <row r="644" spans="1:1" x14ac:dyDescent="0.3">
      <c r="A644" s="7"/>
    </row>
    <row r="645" spans="1:1" x14ac:dyDescent="0.3">
      <c r="A645" s="7"/>
    </row>
    <row r="646" spans="1:1" x14ac:dyDescent="0.3">
      <c r="A646" s="7"/>
    </row>
    <row r="647" spans="1:1" x14ac:dyDescent="0.3">
      <c r="A647" s="7"/>
    </row>
    <row r="648" spans="1:1" x14ac:dyDescent="0.3">
      <c r="A648" s="7"/>
    </row>
    <row r="649" spans="1:1" x14ac:dyDescent="0.3">
      <c r="A649" s="7"/>
    </row>
    <row r="650" spans="1:1" x14ac:dyDescent="0.3">
      <c r="A650" s="7"/>
    </row>
    <row r="651" spans="1:1" x14ac:dyDescent="0.3">
      <c r="A651" s="7"/>
    </row>
    <row r="652" spans="1:1" x14ac:dyDescent="0.3">
      <c r="A652" s="7"/>
    </row>
    <row r="653" spans="1:1" x14ac:dyDescent="0.3">
      <c r="A653" s="7"/>
    </row>
    <row r="654" spans="1:1" x14ac:dyDescent="0.3">
      <c r="A654" s="7"/>
    </row>
    <row r="655" spans="1:1" x14ac:dyDescent="0.3">
      <c r="A655" s="7"/>
    </row>
    <row r="656" spans="1:1" x14ac:dyDescent="0.3">
      <c r="A656" s="7"/>
    </row>
    <row r="657" spans="1:1" x14ac:dyDescent="0.3">
      <c r="A657" s="7"/>
    </row>
    <row r="658" spans="1:1" x14ac:dyDescent="0.3">
      <c r="A658" s="7"/>
    </row>
    <row r="659" spans="1:1" x14ac:dyDescent="0.3">
      <c r="A659" s="7"/>
    </row>
    <row r="660" spans="1:1" x14ac:dyDescent="0.3">
      <c r="A660" s="7"/>
    </row>
    <row r="661" spans="1:1" x14ac:dyDescent="0.3">
      <c r="A661" s="7"/>
    </row>
    <row r="662" spans="1:1" x14ac:dyDescent="0.3">
      <c r="A662" s="7"/>
    </row>
    <row r="663" spans="1:1" x14ac:dyDescent="0.3">
      <c r="A663" s="7"/>
    </row>
    <row r="664" spans="1:1" x14ac:dyDescent="0.3">
      <c r="A664" s="7"/>
    </row>
    <row r="665" spans="1:1" x14ac:dyDescent="0.3">
      <c r="A665" s="7"/>
    </row>
    <row r="666" spans="1:1" x14ac:dyDescent="0.3">
      <c r="A666" s="7"/>
    </row>
    <row r="667" spans="1:1" x14ac:dyDescent="0.3">
      <c r="A667" s="7"/>
    </row>
    <row r="668" spans="1:1" x14ac:dyDescent="0.3">
      <c r="A668" s="7"/>
    </row>
    <row r="669" spans="1:1" x14ac:dyDescent="0.3">
      <c r="A669" s="7"/>
    </row>
    <row r="670" spans="1:1" x14ac:dyDescent="0.3">
      <c r="A670" s="7"/>
    </row>
    <row r="671" spans="1:1" x14ac:dyDescent="0.3">
      <c r="A671" s="7"/>
    </row>
    <row r="672" spans="1:1" x14ac:dyDescent="0.3">
      <c r="A672" s="7"/>
    </row>
    <row r="673" spans="1:1" x14ac:dyDescent="0.3">
      <c r="A673" s="7"/>
    </row>
    <row r="674" spans="1:1" x14ac:dyDescent="0.3">
      <c r="A674" s="7"/>
    </row>
    <row r="675" spans="1:1" x14ac:dyDescent="0.3">
      <c r="A675" s="7"/>
    </row>
    <row r="676" spans="1:1" x14ac:dyDescent="0.3">
      <c r="A676" s="7"/>
    </row>
    <row r="677" spans="1:1" x14ac:dyDescent="0.3">
      <c r="A677" s="7"/>
    </row>
    <row r="678" spans="1:1" x14ac:dyDescent="0.3">
      <c r="A678" s="7"/>
    </row>
    <row r="679" spans="1:1" x14ac:dyDescent="0.3">
      <c r="A679" s="7"/>
    </row>
    <row r="680" spans="1:1" x14ac:dyDescent="0.3">
      <c r="A680" s="7"/>
    </row>
    <row r="681" spans="1:1" x14ac:dyDescent="0.3">
      <c r="A681" s="7"/>
    </row>
    <row r="682" spans="1:1" x14ac:dyDescent="0.3">
      <c r="A682" s="7"/>
    </row>
    <row r="683" spans="1:1" x14ac:dyDescent="0.3">
      <c r="A683" s="7"/>
    </row>
    <row r="684" spans="1:1" x14ac:dyDescent="0.3">
      <c r="A684" s="7"/>
    </row>
    <row r="685" spans="1:1" x14ac:dyDescent="0.3">
      <c r="A685" s="7"/>
    </row>
    <row r="686" spans="1:1" x14ac:dyDescent="0.3">
      <c r="A686" s="7"/>
    </row>
    <row r="687" spans="1:1" x14ac:dyDescent="0.3">
      <c r="A687" s="7"/>
    </row>
    <row r="688" spans="1:1" x14ac:dyDescent="0.3">
      <c r="A688" s="7"/>
    </row>
    <row r="689" spans="1:1" x14ac:dyDescent="0.3">
      <c r="A689" s="7"/>
    </row>
    <row r="690" spans="1:1" x14ac:dyDescent="0.3">
      <c r="A690" s="7"/>
    </row>
    <row r="691" spans="1:1" x14ac:dyDescent="0.3">
      <c r="A691" s="7"/>
    </row>
    <row r="692" spans="1:1" x14ac:dyDescent="0.3">
      <c r="A692" s="7"/>
    </row>
    <row r="693" spans="1:1" x14ac:dyDescent="0.3">
      <c r="A693" s="7"/>
    </row>
    <row r="694" spans="1:1" x14ac:dyDescent="0.3">
      <c r="A694" s="7"/>
    </row>
    <row r="695" spans="1:1" x14ac:dyDescent="0.3">
      <c r="A695" s="7"/>
    </row>
    <row r="696" spans="1:1" x14ac:dyDescent="0.3">
      <c r="A696" s="7"/>
    </row>
    <row r="697" spans="1:1" x14ac:dyDescent="0.3">
      <c r="A697" s="7"/>
    </row>
    <row r="698" spans="1:1" x14ac:dyDescent="0.3">
      <c r="A698" s="7"/>
    </row>
    <row r="699" spans="1:1" x14ac:dyDescent="0.3">
      <c r="A699" s="7"/>
    </row>
    <row r="700" spans="1:1" x14ac:dyDescent="0.3">
      <c r="A700" s="7"/>
    </row>
    <row r="701" spans="1:1" x14ac:dyDescent="0.3">
      <c r="A701" s="7"/>
    </row>
    <row r="702" spans="1:1" x14ac:dyDescent="0.3">
      <c r="A702" s="7"/>
    </row>
    <row r="703" spans="1:1" x14ac:dyDescent="0.3">
      <c r="A703" s="7"/>
    </row>
    <row r="704" spans="1:1" x14ac:dyDescent="0.3">
      <c r="A704" s="7"/>
    </row>
    <row r="705" spans="1:1" x14ac:dyDescent="0.3">
      <c r="A705" s="7"/>
    </row>
    <row r="706" spans="1:1" x14ac:dyDescent="0.3">
      <c r="A706" s="7"/>
    </row>
    <row r="707" spans="1:1" x14ac:dyDescent="0.3">
      <c r="A707" s="7"/>
    </row>
    <row r="708" spans="1:1" x14ac:dyDescent="0.3">
      <c r="A708" s="7"/>
    </row>
    <row r="709" spans="1:1" x14ac:dyDescent="0.3">
      <c r="A709" s="7"/>
    </row>
    <row r="710" spans="1:1" x14ac:dyDescent="0.3">
      <c r="A710" s="7"/>
    </row>
    <row r="711" spans="1:1" x14ac:dyDescent="0.3">
      <c r="A711" s="7"/>
    </row>
    <row r="712" spans="1:1" x14ac:dyDescent="0.3">
      <c r="A712" s="7"/>
    </row>
    <row r="713" spans="1:1" x14ac:dyDescent="0.3">
      <c r="A713" s="7"/>
    </row>
    <row r="714" spans="1:1" x14ac:dyDescent="0.3">
      <c r="A714" s="7"/>
    </row>
    <row r="715" spans="1:1" x14ac:dyDescent="0.3">
      <c r="A715" s="7"/>
    </row>
    <row r="716" spans="1:1" x14ac:dyDescent="0.3">
      <c r="A716" s="7"/>
    </row>
    <row r="717" spans="1:1" x14ac:dyDescent="0.3">
      <c r="A717" s="7"/>
    </row>
    <row r="718" spans="1:1" x14ac:dyDescent="0.3">
      <c r="A718" s="7"/>
    </row>
    <row r="719" spans="1:1" x14ac:dyDescent="0.3">
      <c r="A719" s="7"/>
    </row>
    <row r="720" spans="1:1" x14ac:dyDescent="0.3">
      <c r="A720" s="7"/>
    </row>
    <row r="721" spans="1:1" x14ac:dyDescent="0.3">
      <c r="A721" s="7"/>
    </row>
    <row r="722" spans="1:1" x14ac:dyDescent="0.3">
      <c r="A722" s="7"/>
    </row>
    <row r="723" spans="1:1" x14ac:dyDescent="0.3">
      <c r="A723" s="7"/>
    </row>
    <row r="724" spans="1:1" x14ac:dyDescent="0.3">
      <c r="A724" s="7"/>
    </row>
    <row r="725" spans="1:1" x14ac:dyDescent="0.3">
      <c r="A725" s="7"/>
    </row>
    <row r="726" spans="1:1" x14ac:dyDescent="0.3">
      <c r="A726" s="7"/>
    </row>
    <row r="727" spans="1:1" x14ac:dyDescent="0.3">
      <c r="A727" s="7"/>
    </row>
    <row r="728" spans="1:1" x14ac:dyDescent="0.3">
      <c r="A728" s="7"/>
    </row>
    <row r="729" spans="1:1" x14ac:dyDescent="0.3">
      <c r="A729" s="7"/>
    </row>
    <row r="730" spans="1:1" x14ac:dyDescent="0.3">
      <c r="A730" s="7"/>
    </row>
    <row r="731" spans="1:1" x14ac:dyDescent="0.3">
      <c r="A731" s="7"/>
    </row>
    <row r="732" spans="1:1" x14ac:dyDescent="0.3">
      <c r="A732" s="7"/>
    </row>
    <row r="733" spans="1:1" x14ac:dyDescent="0.3">
      <c r="A733" s="7"/>
    </row>
    <row r="734" spans="1:1" x14ac:dyDescent="0.3">
      <c r="A734" s="7"/>
    </row>
    <row r="735" spans="1:1" x14ac:dyDescent="0.3">
      <c r="A735" s="7"/>
    </row>
    <row r="736" spans="1:1" x14ac:dyDescent="0.3">
      <c r="A736" s="7"/>
    </row>
    <row r="737" spans="1:1" x14ac:dyDescent="0.3">
      <c r="A737" s="7"/>
    </row>
    <row r="738" spans="1:1" x14ac:dyDescent="0.3">
      <c r="A738" s="7"/>
    </row>
    <row r="739" spans="1:1" x14ac:dyDescent="0.3">
      <c r="A739" s="7"/>
    </row>
    <row r="740" spans="1:1" x14ac:dyDescent="0.3">
      <c r="A740" s="7"/>
    </row>
    <row r="741" spans="1:1" x14ac:dyDescent="0.3">
      <c r="A741" s="7"/>
    </row>
    <row r="742" spans="1:1" x14ac:dyDescent="0.3">
      <c r="A742" s="7"/>
    </row>
    <row r="743" spans="1:1" x14ac:dyDescent="0.3">
      <c r="A743" s="7"/>
    </row>
    <row r="744" spans="1:1" x14ac:dyDescent="0.3">
      <c r="A744" s="7"/>
    </row>
    <row r="745" spans="1:1" x14ac:dyDescent="0.3">
      <c r="A745" s="7"/>
    </row>
    <row r="746" spans="1:1" x14ac:dyDescent="0.3">
      <c r="A746" s="7"/>
    </row>
    <row r="747" spans="1:1" x14ac:dyDescent="0.3">
      <c r="A747" s="7"/>
    </row>
    <row r="748" spans="1:1" x14ac:dyDescent="0.3">
      <c r="A748" s="7"/>
    </row>
    <row r="749" spans="1:1" x14ac:dyDescent="0.3">
      <c r="A749" s="7"/>
    </row>
    <row r="750" spans="1:1" x14ac:dyDescent="0.3">
      <c r="A750" s="7"/>
    </row>
    <row r="751" spans="1:1" x14ac:dyDescent="0.3">
      <c r="A751" s="7"/>
    </row>
    <row r="752" spans="1:1" x14ac:dyDescent="0.3">
      <c r="A752" s="7"/>
    </row>
    <row r="753" spans="1:1" x14ac:dyDescent="0.3">
      <c r="A753" s="7"/>
    </row>
    <row r="754" spans="1:1" x14ac:dyDescent="0.3">
      <c r="A754" s="7"/>
    </row>
    <row r="755" spans="1:1" x14ac:dyDescent="0.3">
      <c r="A755" s="7"/>
    </row>
    <row r="756" spans="1:1" x14ac:dyDescent="0.3">
      <c r="A756" s="7"/>
    </row>
    <row r="757" spans="1:1" x14ac:dyDescent="0.3">
      <c r="A757" s="7"/>
    </row>
    <row r="758" spans="1:1" x14ac:dyDescent="0.3">
      <c r="A758" s="7"/>
    </row>
    <row r="759" spans="1:1" x14ac:dyDescent="0.3">
      <c r="A759" s="7"/>
    </row>
    <row r="760" spans="1:1" x14ac:dyDescent="0.3">
      <c r="A760" s="7"/>
    </row>
    <row r="761" spans="1:1" x14ac:dyDescent="0.3">
      <c r="A761" s="7"/>
    </row>
    <row r="762" spans="1:1" x14ac:dyDescent="0.3">
      <c r="A762" s="7"/>
    </row>
    <row r="763" spans="1:1" x14ac:dyDescent="0.3">
      <c r="A763" s="7"/>
    </row>
    <row r="764" spans="1:1" x14ac:dyDescent="0.3">
      <c r="A764" s="7"/>
    </row>
    <row r="765" spans="1:1" x14ac:dyDescent="0.3">
      <c r="A765" s="7"/>
    </row>
    <row r="766" spans="1:1" x14ac:dyDescent="0.3">
      <c r="A766" s="7"/>
    </row>
    <row r="767" spans="1:1" x14ac:dyDescent="0.3">
      <c r="A767" s="7"/>
    </row>
    <row r="768" spans="1:1" x14ac:dyDescent="0.3">
      <c r="A768" s="7"/>
    </row>
    <row r="769" spans="1:1" x14ac:dyDescent="0.3">
      <c r="A769" s="7"/>
    </row>
    <row r="770" spans="1:1" x14ac:dyDescent="0.3">
      <c r="A770" s="7"/>
    </row>
    <row r="771" spans="1:1" x14ac:dyDescent="0.3">
      <c r="A771" s="7"/>
    </row>
    <row r="772" spans="1:1" x14ac:dyDescent="0.3">
      <c r="A772" s="7"/>
    </row>
    <row r="773" spans="1:1" x14ac:dyDescent="0.3">
      <c r="A773" s="7"/>
    </row>
    <row r="774" spans="1:1" x14ac:dyDescent="0.3">
      <c r="A774" s="7"/>
    </row>
    <row r="775" spans="1:1" x14ac:dyDescent="0.3">
      <c r="A775" s="7"/>
    </row>
    <row r="776" spans="1:1" x14ac:dyDescent="0.3">
      <c r="A776" s="7"/>
    </row>
    <row r="777" spans="1:1" x14ac:dyDescent="0.3">
      <c r="A777" s="7"/>
    </row>
    <row r="778" spans="1:1" x14ac:dyDescent="0.3">
      <c r="A778" s="7"/>
    </row>
    <row r="779" spans="1:1" x14ac:dyDescent="0.3">
      <c r="A779" s="7"/>
    </row>
    <row r="780" spans="1:1" x14ac:dyDescent="0.3">
      <c r="A780" s="7"/>
    </row>
    <row r="781" spans="1:1" x14ac:dyDescent="0.3">
      <c r="A781" s="7"/>
    </row>
    <row r="782" spans="1:1" x14ac:dyDescent="0.3">
      <c r="A782" s="7"/>
    </row>
    <row r="783" spans="1:1" x14ac:dyDescent="0.3">
      <c r="A783" s="7"/>
    </row>
    <row r="784" spans="1:1" x14ac:dyDescent="0.3">
      <c r="A784" s="7"/>
    </row>
    <row r="785" spans="1:1" x14ac:dyDescent="0.3">
      <c r="A785" s="7"/>
    </row>
    <row r="786" spans="1:1" x14ac:dyDescent="0.3">
      <c r="A786" s="7"/>
    </row>
    <row r="787" spans="1:1" x14ac:dyDescent="0.3">
      <c r="A787" s="7"/>
    </row>
    <row r="788" spans="1:1" x14ac:dyDescent="0.3">
      <c r="A788" s="7"/>
    </row>
    <row r="789" spans="1:1" x14ac:dyDescent="0.3">
      <c r="A789" s="7"/>
    </row>
    <row r="790" spans="1:1" x14ac:dyDescent="0.3">
      <c r="A790" s="7"/>
    </row>
    <row r="791" spans="1:1" x14ac:dyDescent="0.3">
      <c r="A791" s="7"/>
    </row>
    <row r="792" spans="1:1" x14ac:dyDescent="0.3">
      <c r="A792" s="7"/>
    </row>
    <row r="793" spans="1:1" x14ac:dyDescent="0.3">
      <c r="A793" s="7"/>
    </row>
    <row r="794" spans="1:1" x14ac:dyDescent="0.3">
      <c r="A794" s="7"/>
    </row>
    <row r="795" spans="1:1" x14ac:dyDescent="0.3">
      <c r="A795" s="7"/>
    </row>
    <row r="796" spans="1:1" x14ac:dyDescent="0.3">
      <c r="A796" s="7"/>
    </row>
    <row r="797" spans="1:1" x14ac:dyDescent="0.3">
      <c r="A797" s="7"/>
    </row>
    <row r="798" spans="1:1" x14ac:dyDescent="0.3">
      <c r="A798" s="7"/>
    </row>
    <row r="799" spans="1:1" x14ac:dyDescent="0.3">
      <c r="A799" s="7"/>
    </row>
    <row r="800" spans="1:1" x14ac:dyDescent="0.3">
      <c r="A800" s="7"/>
    </row>
    <row r="801" spans="1:1" x14ac:dyDescent="0.3">
      <c r="A801" s="7"/>
    </row>
    <row r="802" spans="1:1" x14ac:dyDescent="0.3">
      <c r="A802" s="7"/>
    </row>
    <row r="803" spans="1:1" x14ac:dyDescent="0.3">
      <c r="A803" s="7"/>
    </row>
    <row r="804" spans="1:1" x14ac:dyDescent="0.3">
      <c r="A804" s="7"/>
    </row>
    <row r="805" spans="1:1" x14ac:dyDescent="0.3">
      <c r="A805" s="7"/>
    </row>
    <row r="806" spans="1:1" x14ac:dyDescent="0.3">
      <c r="A806" s="7"/>
    </row>
    <row r="807" spans="1:1" x14ac:dyDescent="0.3">
      <c r="A807" s="7"/>
    </row>
    <row r="808" spans="1:1" x14ac:dyDescent="0.3">
      <c r="A808" s="7"/>
    </row>
    <row r="809" spans="1:1" x14ac:dyDescent="0.3">
      <c r="A809" s="7"/>
    </row>
    <row r="810" spans="1:1" x14ac:dyDescent="0.3">
      <c r="A810" s="7"/>
    </row>
    <row r="811" spans="1:1" x14ac:dyDescent="0.3">
      <c r="A811" s="7"/>
    </row>
    <row r="812" spans="1:1" x14ac:dyDescent="0.3">
      <c r="A812" s="7"/>
    </row>
    <row r="813" spans="1:1" x14ac:dyDescent="0.3">
      <c r="A813" s="7"/>
    </row>
    <row r="814" spans="1:1" x14ac:dyDescent="0.3">
      <c r="A814" s="7"/>
    </row>
    <row r="815" spans="1:1" x14ac:dyDescent="0.3">
      <c r="A815" s="7"/>
    </row>
    <row r="816" spans="1:1" x14ac:dyDescent="0.3">
      <c r="A816" s="7"/>
    </row>
    <row r="817" spans="1:1" x14ac:dyDescent="0.3">
      <c r="A817" s="7"/>
    </row>
    <row r="818" spans="1:1" x14ac:dyDescent="0.3">
      <c r="A818" s="7"/>
    </row>
    <row r="819" spans="1:1" x14ac:dyDescent="0.3">
      <c r="A819" s="7"/>
    </row>
    <row r="820" spans="1:1" x14ac:dyDescent="0.3">
      <c r="A820" s="7"/>
    </row>
    <row r="821" spans="1:1" x14ac:dyDescent="0.3">
      <c r="A821" s="7"/>
    </row>
    <row r="822" spans="1:1" x14ac:dyDescent="0.3">
      <c r="A822" s="7"/>
    </row>
    <row r="823" spans="1:1" x14ac:dyDescent="0.3">
      <c r="A823" s="7"/>
    </row>
    <row r="824" spans="1:1" x14ac:dyDescent="0.3">
      <c r="A824" s="7"/>
    </row>
    <row r="825" spans="1:1" x14ac:dyDescent="0.3">
      <c r="A825" s="7"/>
    </row>
    <row r="826" spans="1:1" x14ac:dyDescent="0.3">
      <c r="A826" s="7"/>
    </row>
    <row r="827" spans="1:1" x14ac:dyDescent="0.3">
      <c r="A827" s="7"/>
    </row>
    <row r="828" spans="1:1" x14ac:dyDescent="0.3">
      <c r="A828" s="7"/>
    </row>
    <row r="829" spans="1:1" x14ac:dyDescent="0.3">
      <c r="A829" s="7"/>
    </row>
    <row r="830" spans="1:1" x14ac:dyDescent="0.3">
      <c r="A830" s="7"/>
    </row>
    <row r="831" spans="1:1" x14ac:dyDescent="0.3">
      <c r="A831" s="7"/>
    </row>
    <row r="832" spans="1:1" x14ac:dyDescent="0.3">
      <c r="A832" s="7"/>
    </row>
    <row r="833" spans="1:1" x14ac:dyDescent="0.3">
      <c r="A833" s="7"/>
    </row>
    <row r="834" spans="1:1" x14ac:dyDescent="0.3">
      <c r="A834" s="7"/>
    </row>
    <row r="835" spans="1:1" x14ac:dyDescent="0.3">
      <c r="A835" s="7"/>
    </row>
    <row r="836" spans="1:1" x14ac:dyDescent="0.3">
      <c r="A836" s="7"/>
    </row>
    <row r="837" spans="1:1" x14ac:dyDescent="0.3">
      <c r="A837" s="7"/>
    </row>
    <row r="838" spans="1:1" x14ac:dyDescent="0.3">
      <c r="A838" s="7"/>
    </row>
    <row r="839" spans="1:1" x14ac:dyDescent="0.3">
      <c r="A839" s="7"/>
    </row>
    <row r="840" spans="1:1" x14ac:dyDescent="0.3">
      <c r="A840" s="7"/>
    </row>
    <row r="841" spans="1:1" x14ac:dyDescent="0.3">
      <c r="A841" s="7"/>
    </row>
    <row r="842" spans="1:1" x14ac:dyDescent="0.3">
      <c r="A842" s="7"/>
    </row>
    <row r="843" spans="1:1" x14ac:dyDescent="0.3">
      <c r="A843" s="7"/>
    </row>
    <row r="844" spans="1:1" x14ac:dyDescent="0.3">
      <c r="A844" s="7"/>
    </row>
    <row r="845" spans="1:1" x14ac:dyDescent="0.3">
      <c r="A845" s="7"/>
    </row>
    <row r="846" spans="1:1" x14ac:dyDescent="0.3">
      <c r="A846" s="7"/>
    </row>
    <row r="847" spans="1:1" x14ac:dyDescent="0.3">
      <c r="A847" s="7"/>
    </row>
    <row r="848" spans="1:1" x14ac:dyDescent="0.3">
      <c r="A848" s="7"/>
    </row>
    <row r="849" spans="1:1" x14ac:dyDescent="0.3">
      <c r="A849" s="7"/>
    </row>
    <row r="850" spans="1:1" x14ac:dyDescent="0.3">
      <c r="A850" s="7"/>
    </row>
    <row r="851" spans="1:1" x14ac:dyDescent="0.3">
      <c r="A851" s="7"/>
    </row>
    <row r="852" spans="1:1" x14ac:dyDescent="0.3">
      <c r="A852" s="7"/>
    </row>
    <row r="853" spans="1:1" x14ac:dyDescent="0.3">
      <c r="A853" s="7"/>
    </row>
    <row r="854" spans="1:1" x14ac:dyDescent="0.3">
      <c r="A854" s="7"/>
    </row>
    <row r="855" spans="1:1" x14ac:dyDescent="0.3">
      <c r="A855" s="7"/>
    </row>
    <row r="856" spans="1:1" x14ac:dyDescent="0.3">
      <c r="A856" s="7"/>
    </row>
    <row r="857" spans="1:1" x14ac:dyDescent="0.3">
      <c r="A857" s="7"/>
    </row>
    <row r="858" spans="1:1" x14ac:dyDescent="0.3">
      <c r="A858" s="7"/>
    </row>
    <row r="859" spans="1:1" x14ac:dyDescent="0.3">
      <c r="A859" s="7"/>
    </row>
    <row r="860" spans="1:1" x14ac:dyDescent="0.3">
      <c r="A860" s="7"/>
    </row>
    <row r="861" spans="1:1" x14ac:dyDescent="0.3">
      <c r="A861" s="7"/>
    </row>
    <row r="862" spans="1:1" x14ac:dyDescent="0.3">
      <c r="A862" s="7"/>
    </row>
    <row r="863" spans="1:1" x14ac:dyDescent="0.3">
      <c r="A863" s="7"/>
    </row>
    <row r="864" spans="1:1" x14ac:dyDescent="0.3">
      <c r="A864" s="7"/>
    </row>
    <row r="865" spans="1:1" x14ac:dyDescent="0.3">
      <c r="A865" s="7"/>
    </row>
    <row r="866" spans="1:1" x14ac:dyDescent="0.3">
      <c r="A866" s="7"/>
    </row>
    <row r="867" spans="1:1" x14ac:dyDescent="0.3">
      <c r="A867" s="7"/>
    </row>
    <row r="868" spans="1:1" x14ac:dyDescent="0.3">
      <c r="A868" s="7"/>
    </row>
    <row r="869" spans="1:1" x14ac:dyDescent="0.3">
      <c r="A869" s="7"/>
    </row>
    <row r="870" spans="1:1" x14ac:dyDescent="0.3">
      <c r="A870" s="7"/>
    </row>
    <row r="871" spans="1:1" x14ac:dyDescent="0.3">
      <c r="A871" s="7"/>
    </row>
    <row r="872" spans="1:1" x14ac:dyDescent="0.3">
      <c r="A872" s="7"/>
    </row>
    <row r="873" spans="1:1" x14ac:dyDescent="0.3">
      <c r="A873" s="7"/>
    </row>
    <row r="874" spans="1:1" x14ac:dyDescent="0.3">
      <c r="A874" s="7"/>
    </row>
    <row r="875" spans="1:1" x14ac:dyDescent="0.3">
      <c r="A875" s="7"/>
    </row>
    <row r="876" spans="1:1" x14ac:dyDescent="0.3">
      <c r="A876" s="7"/>
    </row>
    <row r="877" spans="1:1" x14ac:dyDescent="0.3">
      <c r="A877" s="7"/>
    </row>
    <row r="878" spans="1:1" x14ac:dyDescent="0.3">
      <c r="A878" s="7"/>
    </row>
    <row r="879" spans="1:1" x14ac:dyDescent="0.3">
      <c r="A879" s="7"/>
    </row>
    <row r="880" spans="1:1" x14ac:dyDescent="0.3">
      <c r="A880" s="7"/>
    </row>
    <row r="881" spans="1:1" x14ac:dyDescent="0.3">
      <c r="A881" s="7"/>
    </row>
    <row r="882" spans="1:1" x14ac:dyDescent="0.3">
      <c r="A882" s="7"/>
    </row>
    <row r="883" spans="1:1" x14ac:dyDescent="0.3">
      <c r="A883" s="7"/>
    </row>
    <row r="884" spans="1:1" x14ac:dyDescent="0.3">
      <c r="A884" s="7"/>
    </row>
    <row r="885" spans="1:1" x14ac:dyDescent="0.3">
      <c r="A885" s="7"/>
    </row>
    <row r="886" spans="1:1" x14ac:dyDescent="0.3">
      <c r="A886" s="7"/>
    </row>
    <row r="887" spans="1:1" x14ac:dyDescent="0.3">
      <c r="A887" s="7"/>
    </row>
    <row r="888" spans="1:1" x14ac:dyDescent="0.3">
      <c r="A888" s="7"/>
    </row>
    <row r="889" spans="1:1" x14ac:dyDescent="0.3">
      <c r="A889" s="7"/>
    </row>
    <row r="890" spans="1:1" x14ac:dyDescent="0.3">
      <c r="A890" s="7"/>
    </row>
    <row r="891" spans="1:1" x14ac:dyDescent="0.3">
      <c r="A891" s="7"/>
    </row>
    <row r="892" spans="1:1" x14ac:dyDescent="0.3">
      <c r="A892" s="7"/>
    </row>
    <row r="893" spans="1:1" x14ac:dyDescent="0.3">
      <c r="A893" s="7"/>
    </row>
    <row r="894" spans="1:1" x14ac:dyDescent="0.3">
      <c r="A894" s="7"/>
    </row>
    <row r="895" spans="1:1" x14ac:dyDescent="0.3">
      <c r="A895" s="7"/>
    </row>
    <row r="896" spans="1:1" x14ac:dyDescent="0.3">
      <c r="A896" s="7"/>
    </row>
    <row r="897" spans="1:1" x14ac:dyDescent="0.3">
      <c r="A897" s="7"/>
    </row>
    <row r="898" spans="1:1" x14ac:dyDescent="0.3">
      <c r="A898" s="7"/>
    </row>
    <row r="899" spans="1:1" x14ac:dyDescent="0.3">
      <c r="A899" s="7"/>
    </row>
    <row r="900" spans="1:1" x14ac:dyDescent="0.3">
      <c r="A900" s="7"/>
    </row>
    <row r="901" spans="1:1" x14ac:dyDescent="0.3">
      <c r="A901" s="7"/>
    </row>
    <row r="902" spans="1:1" x14ac:dyDescent="0.3">
      <c r="A902" s="7"/>
    </row>
    <row r="903" spans="1:1" x14ac:dyDescent="0.3">
      <c r="A903" s="7"/>
    </row>
    <row r="904" spans="1:1" x14ac:dyDescent="0.3">
      <c r="A904" s="7"/>
    </row>
    <row r="905" spans="1:1" x14ac:dyDescent="0.3">
      <c r="A905" s="7"/>
    </row>
    <row r="906" spans="1:1" x14ac:dyDescent="0.3">
      <c r="A906" s="7"/>
    </row>
    <row r="907" spans="1:1" x14ac:dyDescent="0.3">
      <c r="A907" s="7"/>
    </row>
    <row r="908" spans="1:1" x14ac:dyDescent="0.3">
      <c r="A908" s="7"/>
    </row>
    <row r="909" spans="1:1" x14ac:dyDescent="0.3">
      <c r="A909" s="7"/>
    </row>
    <row r="910" spans="1:1" x14ac:dyDescent="0.3">
      <c r="A910" s="7"/>
    </row>
    <row r="911" spans="1:1" x14ac:dyDescent="0.3">
      <c r="A911" s="7"/>
    </row>
    <row r="912" spans="1:1" x14ac:dyDescent="0.3">
      <c r="A912" s="7"/>
    </row>
    <row r="913" spans="1:1" x14ac:dyDescent="0.3">
      <c r="A913" s="7"/>
    </row>
    <row r="914" spans="1:1" x14ac:dyDescent="0.3">
      <c r="A914" s="7"/>
    </row>
    <row r="915" spans="1:1" x14ac:dyDescent="0.3">
      <c r="A915" s="7"/>
    </row>
    <row r="916" spans="1:1" x14ac:dyDescent="0.3">
      <c r="A916" s="7"/>
    </row>
    <row r="917" spans="1:1" x14ac:dyDescent="0.3">
      <c r="A917" s="7"/>
    </row>
    <row r="918" spans="1:1" x14ac:dyDescent="0.3">
      <c r="A918" s="7"/>
    </row>
    <row r="919" spans="1:1" x14ac:dyDescent="0.3">
      <c r="A919" s="7"/>
    </row>
    <row r="920" spans="1:1" x14ac:dyDescent="0.3">
      <c r="A920" s="7"/>
    </row>
    <row r="921" spans="1:1" x14ac:dyDescent="0.3">
      <c r="A921" s="7"/>
    </row>
    <row r="922" spans="1:1" x14ac:dyDescent="0.3">
      <c r="A922" s="7"/>
    </row>
    <row r="923" spans="1:1" x14ac:dyDescent="0.3">
      <c r="A923" s="7"/>
    </row>
    <row r="924" spans="1:1" x14ac:dyDescent="0.3">
      <c r="A924" s="7"/>
    </row>
    <row r="925" spans="1:1" x14ac:dyDescent="0.3">
      <c r="A925" s="7"/>
    </row>
    <row r="926" spans="1:1" x14ac:dyDescent="0.3">
      <c r="A926" s="7"/>
    </row>
    <row r="927" spans="1:1" x14ac:dyDescent="0.3">
      <c r="A927" s="7"/>
    </row>
    <row r="928" spans="1:1" x14ac:dyDescent="0.3">
      <c r="A928" s="7"/>
    </row>
    <row r="929" spans="1:1" x14ac:dyDescent="0.3">
      <c r="A929" s="7"/>
    </row>
    <row r="930" spans="1:1" x14ac:dyDescent="0.3">
      <c r="A930" s="7"/>
    </row>
    <row r="931" spans="1:1" x14ac:dyDescent="0.3">
      <c r="A931" s="7"/>
    </row>
    <row r="932" spans="1:1" x14ac:dyDescent="0.3">
      <c r="A932" s="7"/>
    </row>
    <row r="933" spans="1:1" x14ac:dyDescent="0.3">
      <c r="A933" s="7"/>
    </row>
    <row r="934" spans="1:1" x14ac:dyDescent="0.3">
      <c r="A934" s="7"/>
    </row>
    <row r="935" spans="1:1" x14ac:dyDescent="0.3">
      <c r="A935" s="7"/>
    </row>
    <row r="936" spans="1:1" x14ac:dyDescent="0.3">
      <c r="A936" s="7"/>
    </row>
    <row r="937" spans="1:1" x14ac:dyDescent="0.3">
      <c r="A937" s="7"/>
    </row>
    <row r="938" spans="1:1" x14ac:dyDescent="0.3">
      <c r="A938" s="7"/>
    </row>
    <row r="939" spans="1:1" x14ac:dyDescent="0.3">
      <c r="A939" s="7"/>
    </row>
    <row r="940" spans="1:1" x14ac:dyDescent="0.3">
      <c r="A940" s="7"/>
    </row>
    <row r="941" spans="1:1" x14ac:dyDescent="0.3">
      <c r="A941" s="7"/>
    </row>
    <row r="942" spans="1:1" x14ac:dyDescent="0.3">
      <c r="A942" s="7"/>
    </row>
    <row r="943" spans="1:1" x14ac:dyDescent="0.3">
      <c r="A943" s="7"/>
    </row>
    <row r="944" spans="1:1" x14ac:dyDescent="0.3">
      <c r="A944" s="7"/>
    </row>
    <row r="945" spans="1:1" x14ac:dyDescent="0.3">
      <c r="A945" s="7"/>
    </row>
    <row r="946" spans="1:1" x14ac:dyDescent="0.3">
      <c r="A946" s="7"/>
    </row>
    <row r="947" spans="1:1" x14ac:dyDescent="0.3">
      <c r="A947" s="7"/>
    </row>
    <row r="948" spans="1:1" x14ac:dyDescent="0.3">
      <c r="A948" s="7"/>
    </row>
    <row r="949" spans="1:1" x14ac:dyDescent="0.3">
      <c r="A949" s="7"/>
    </row>
    <row r="950" spans="1:1" x14ac:dyDescent="0.3">
      <c r="A950" s="7"/>
    </row>
    <row r="951" spans="1:1" x14ac:dyDescent="0.3">
      <c r="A951" s="7"/>
    </row>
    <row r="952" spans="1:1" x14ac:dyDescent="0.3">
      <c r="A952" s="7"/>
    </row>
    <row r="953" spans="1:1" x14ac:dyDescent="0.3">
      <c r="A953" s="7"/>
    </row>
    <row r="954" spans="1:1" x14ac:dyDescent="0.3">
      <c r="A954" s="7"/>
    </row>
    <row r="955" spans="1:1" x14ac:dyDescent="0.3">
      <c r="A955" s="7"/>
    </row>
    <row r="956" spans="1:1" x14ac:dyDescent="0.3">
      <c r="A956" s="7"/>
    </row>
    <row r="957" spans="1:1" x14ac:dyDescent="0.3">
      <c r="A957" s="7"/>
    </row>
    <row r="958" spans="1:1" x14ac:dyDescent="0.3">
      <c r="A958" s="7"/>
    </row>
    <row r="959" spans="1:1" x14ac:dyDescent="0.3">
      <c r="A959" s="7"/>
    </row>
    <row r="960" spans="1:1" x14ac:dyDescent="0.3">
      <c r="A960" s="7"/>
    </row>
    <row r="961" spans="1:1" x14ac:dyDescent="0.3">
      <c r="A961" s="7"/>
    </row>
    <row r="962" spans="1:1" x14ac:dyDescent="0.3">
      <c r="A962" s="7"/>
    </row>
    <row r="963" spans="1:1" x14ac:dyDescent="0.3">
      <c r="A963" s="7"/>
    </row>
    <row r="964" spans="1:1" x14ac:dyDescent="0.3">
      <c r="A964" s="7"/>
    </row>
    <row r="965" spans="1:1" x14ac:dyDescent="0.3">
      <c r="A965" s="7"/>
    </row>
    <row r="966" spans="1:1" x14ac:dyDescent="0.3">
      <c r="A966" s="7"/>
    </row>
    <row r="967" spans="1:1" x14ac:dyDescent="0.3">
      <c r="A967" s="7"/>
    </row>
    <row r="968" spans="1:1" x14ac:dyDescent="0.3">
      <c r="A968" s="7"/>
    </row>
    <row r="969" spans="1:1" x14ac:dyDescent="0.3">
      <c r="A969" s="7"/>
    </row>
    <row r="970" spans="1:1" x14ac:dyDescent="0.3">
      <c r="A970" s="7"/>
    </row>
    <row r="971" spans="1:1" x14ac:dyDescent="0.3">
      <c r="A971" s="7"/>
    </row>
    <row r="972" spans="1:1" x14ac:dyDescent="0.3">
      <c r="A972" s="7"/>
    </row>
    <row r="973" spans="1:1" x14ac:dyDescent="0.3">
      <c r="A973" s="7"/>
    </row>
    <row r="974" spans="1:1" x14ac:dyDescent="0.3">
      <c r="A974" s="7"/>
    </row>
    <row r="975" spans="1:1" x14ac:dyDescent="0.3">
      <c r="A975" s="7"/>
    </row>
    <row r="976" spans="1:1" x14ac:dyDescent="0.3">
      <c r="A976" s="7"/>
    </row>
    <row r="977" spans="1:1" x14ac:dyDescent="0.3">
      <c r="A977" s="7"/>
    </row>
    <row r="978" spans="1:1" x14ac:dyDescent="0.3">
      <c r="A978" s="7"/>
    </row>
    <row r="979" spans="1:1" x14ac:dyDescent="0.3">
      <c r="A979" s="7"/>
    </row>
    <row r="980" spans="1:1" x14ac:dyDescent="0.3">
      <c r="A980" s="7"/>
    </row>
    <row r="981" spans="1:1" x14ac:dyDescent="0.3">
      <c r="A981" s="7"/>
    </row>
    <row r="982" spans="1:1" x14ac:dyDescent="0.3">
      <c r="A982" s="7"/>
    </row>
    <row r="983" spans="1:1" x14ac:dyDescent="0.3">
      <c r="A983" s="7"/>
    </row>
    <row r="984" spans="1:1" x14ac:dyDescent="0.3">
      <c r="A984" s="7"/>
    </row>
    <row r="985" spans="1:1" x14ac:dyDescent="0.3">
      <c r="A985" s="7"/>
    </row>
    <row r="986" spans="1:1" x14ac:dyDescent="0.3">
      <c r="A986" s="7"/>
    </row>
    <row r="987" spans="1:1" x14ac:dyDescent="0.3">
      <c r="A987" s="7"/>
    </row>
    <row r="988" spans="1:1" x14ac:dyDescent="0.3">
      <c r="A988" s="7"/>
    </row>
    <row r="989" spans="1:1" x14ac:dyDescent="0.3">
      <c r="A989" s="7"/>
    </row>
    <row r="990" spans="1:1" x14ac:dyDescent="0.3">
      <c r="A990" s="7"/>
    </row>
    <row r="991" spans="1:1" x14ac:dyDescent="0.3">
      <c r="A991" s="7"/>
    </row>
    <row r="992" spans="1:1" x14ac:dyDescent="0.3">
      <c r="A992" s="7"/>
    </row>
    <row r="993" spans="1:1" x14ac:dyDescent="0.3">
      <c r="A993" s="7"/>
    </row>
    <row r="994" spans="1:1" x14ac:dyDescent="0.3">
      <c r="A994" s="7"/>
    </row>
    <row r="995" spans="1:1" x14ac:dyDescent="0.3">
      <c r="A995" s="7"/>
    </row>
    <row r="996" spans="1:1" x14ac:dyDescent="0.3">
      <c r="A996" s="7"/>
    </row>
    <row r="997" spans="1:1" x14ac:dyDescent="0.3">
      <c r="A997" s="7"/>
    </row>
    <row r="998" spans="1:1" x14ac:dyDescent="0.3">
      <c r="A998" s="7"/>
    </row>
    <row r="999" spans="1:1" x14ac:dyDescent="0.3">
      <c r="A999" s="7"/>
    </row>
    <row r="1000" spans="1:1" x14ac:dyDescent="0.3">
      <c r="A1000" s="7"/>
    </row>
    <row r="1001" spans="1:1" x14ac:dyDescent="0.3">
      <c r="A1001" s="7"/>
    </row>
    <row r="1002" spans="1:1" x14ac:dyDescent="0.3">
      <c r="A1002" s="7"/>
    </row>
  </sheetData>
  <mergeCells count="1">
    <mergeCell ref="K6:O6"/>
  </mergeCells>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714AB-3B15-4BD3-8E82-B206307EE6B0}">
  <dimension ref="A2:E6"/>
  <sheetViews>
    <sheetView workbookViewId="0">
      <selection activeCell="E3" sqref="E3"/>
    </sheetView>
  </sheetViews>
  <sheetFormatPr defaultRowHeight="14.4" x14ac:dyDescent="0.3"/>
  <cols>
    <col min="1" max="1" width="44.6640625" bestFit="1" customWidth="1"/>
    <col min="3" max="3" width="10.6640625" customWidth="1"/>
    <col min="4" max="4" width="1.5546875" customWidth="1"/>
    <col min="5" max="5" width="44.6640625" bestFit="1" customWidth="1"/>
  </cols>
  <sheetData>
    <row r="2" spans="1:5" ht="72" x14ac:dyDescent="0.3">
      <c r="A2" s="9" t="s">
        <v>1940</v>
      </c>
      <c r="C2" s="31" t="s">
        <v>1950</v>
      </c>
      <c r="E2" s="32" t="s">
        <v>1952</v>
      </c>
    </row>
    <row r="3" spans="1:5" x14ac:dyDescent="0.3">
      <c r="A3" t="s">
        <v>1941</v>
      </c>
      <c r="E3" s="10"/>
    </row>
    <row r="4" spans="1:5" x14ac:dyDescent="0.3">
      <c r="A4" s="10" t="s">
        <v>1943</v>
      </c>
      <c r="E4" t="s">
        <v>1951</v>
      </c>
    </row>
    <row r="5" spans="1:5" x14ac:dyDescent="0.3">
      <c r="A5" t="s">
        <v>1942</v>
      </c>
      <c r="E5" s="10"/>
    </row>
    <row r="6" spans="1:5" x14ac:dyDescent="0.3">
      <c r="A6" s="10" t="s">
        <v>1944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72BA1-7BD0-4A82-B9BC-2BA9C3627D63}">
  <dimension ref="A10"/>
  <sheetViews>
    <sheetView tabSelected="1" topLeftCell="A14" zoomScale="93" zoomScaleNormal="93" workbookViewId="0">
      <selection activeCell="I48" sqref="I48"/>
    </sheetView>
  </sheetViews>
  <sheetFormatPr defaultRowHeight="14.4" x14ac:dyDescent="0.3"/>
  <cols>
    <col min="1" max="1" width="2.88671875" customWidth="1"/>
    <col min="2" max="2" width="13.6640625" customWidth="1"/>
    <col min="3" max="3" width="2.88671875" customWidth="1"/>
  </cols>
  <sheetData>
    <row r="10" customForma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vt:lpstr>
      <vt:lpstr>Ques</vt:lpstr>
      <vt:lpstr>Dashboard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darole</dc:creator>
  <cp:lastModifiedBy>Sahil darole</cp:lastModifiedBy>
  <dcterms:created xsi:type="dcterms:W3CDTF">2026-03-01T11:47:32Z</dcterms:created>
  <dcterms:modified xsi:type="dcterms:W3CDTF">2026-04-19T16:10:41Z</dcterms:modified>
</cp:coreProperties>
</file>